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Евгения\OneDrive\Рабочий стол\Статистика\"/>
    </mc:Choice>
  </mc:AlternateContent>
  <xr:revisionPtr revIDLastSave="0" documentId="13_ncr:1_{ABA05176-1177-450B-948A-B363A0F1DA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F дети кровь" sheetId="4" r:id="rId2"/>
    <sheet name="контроль дети" sheetId="5" r:id="rId3"/>
    <sheet name="Вес 3 группы" sheetId="2" r:id="rId4"/>
    <sheet name="Рост 3 группы" sheetId="3" r:id="rId5"/>
  </sheets>
  <definedNames>
    <definedName name="_xlchart.v1.0" hidden="1">'Вес 3 группы'!$E$1</definedName>
    <definedName name="_xlchart.v1.1" hidden="1">'Вес 3 группы'!$E$2:$E$84</definedName>
    <definedName name="_xlchart.v1.10" hidden="1">'Рост 3 группы'!$G$1</definedName>
    <definedName name="_xlchart.v1.11" hidden="1">'Рост 3 группы'!$G$2:$G$84</definedName>
    <definedName name="_xlchart.v1.2" hidden="1">'Вес 3 группы'!$F$1</definedName>
    <definedName name="_xlchart.v1.3" hidden="1">'Вес 3 группы'!$F$2:$F$84</definedName>
    <definedName name="_xlchart.v1.4" hidden="1">'Вес 3 группы'!$G$1</definedName>
    <definedName name="_xlchart.v1.5" hidden="1">'Вес 3 группы'!$G$2:$G$84</definedName>
    <definedName name="_xlchart.v1.6" hidden="1">'Рост 3 группы'!$E$1</definedName>
    <definedName name="_xlchart.v1.7" hidden="1">'Рост 3 группы'!$E$2:$E$84</definedName>
    <definedName name="_xlchart.v1.8" hidden="1">'Рост 3 группы'!$F$1</definedName>
    <definedName name="_xlchart.v1.9" hidden="1">'Рост 3 группы'!$F$2:$F$84</definedName>
    <definedName name="_xlnm._FilterDatabase" localSheetId="0" hidden="1">Лист1!$J$1:$J$229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4" i="5" l="1"/>
  <c r="B84" i="5"/>
  <c r="A84" i="5"/>
  <c r="C83" i="5"/>
  <c r="B83" i="5"/>
  <c r="A83" i="5"/>
  <c r="C82" i="5"/>
  <c r="B82" i="5"/>
  <c r="A82" i="5"/>
  <c r="C81" i="5"/>
  <c r="B81" i="5"/>
  <c r="A81" i="5"/>
  <c r="D76" i="4"/>
  <c r="D74" i="4"/>
  <c r="D73" i="4"/>
  <c r="D75" i="4" s="1"/>
  <c r="C76" i="4"/>
  <c r="C74" i="4"/>
  <c r="C73" i="4"/>
  <c r="C75" i="4" s="1"/>
  <c r="B76" i="4"/>
  <c r="B74" i="4"/>
  <c r="B75" i="4" s="1"/>
  <c r="B73" i="4"/>
</calcChain>
</file>

<file path=xl/sharedStrings.xml><?xml version="1.0" encoding="utf-8"?>
<sst xmlns="http://schemas.openxmlformats.org/spreadsheetml/2006/main" count="386" uniqueCount="348">
  <si>
    <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 ФИО</t>
    </r>
  </si>
  <si>
    <t>группа</t>
  </si>
  <si>
    <t>Андронова Алина Андреевна</t>
  </si>
  <si>
    <t>Деркачева Ирина Юрьевна</t>
  </si>
  <si>
    <t>Есаул Людмила Анатольевна</t>
  </si>
  <si>
    <t>Косоурова Александра Викторовна</t>
  </si>
  <si>
    <t>Петухова Елена Сергеевна</t>
  </si>
  <si>
    <t>Овечкина Юлия Анатольевна</t>
  </si>
  <si>
    <t>Родионова Валентина Викторовна</t>
  </si>
  <si>
    <t>Колосова Ксения Сергеевна</t>
  </si>
  <si>
    <t>Григорьева Надежда Юрьевна</t>
  </si>
  <si>
    <t>Чепиженко Анжелика Валериевна</t>
  </si>
  <si>
    <t>Матвеева Анастасия Николаевна</t>
  </si>
  <si>
    <t>Анисимова Татьяна Владимировна</t>
  </si>
  <si>
    <t>Метелева Юлия Владимировна</t>
  </si>
  <si>
    <t>Панкратова Светлана Николаевна</t>
  </si>
  <si>
    <t>Тарасова Виктория Владимировна</t>
  </si>
  <si>
    <t>Шорохова Воднева  Дарья Сергеевна</t>
  </si>
  <si>
    <t>Сидоренко Екатерина Валерьевна</t>
  </si>
  <si>
    <t>Константинова Юлия Алексеевна</t>
  </si>
  <si>
    <t>Козак Ярославна Михайловна</t>
  </si>
  <si>
    <t>Жабоева Фаризат Хасановна</t>
  </si>
  <si>
    <t>Журавлева Яна Юрьевна</t>
  </si>
  <si>
    <t>Рейцман Анна Александровна</t>
  </si>
  <si>
    <t>Лобзова Дарья Дмитриевна</t>
  </si>
  <si>
    <t>Андреева Ирина Юрьевна</t>
  </si>
  <si>
    <t>Телийчук Ольга Анатольевна</t>
  </si>
  <si>
    <t>Касторнова Надежда Ивановна</t>
  </si>
  <si>
    <t>Иванова Наталья Николаевна</t>
  </si>
  <si>
    <t>Малышева Кристина Николаевна</t>
  </si>
  <si>
    <t>Родина Лариса Харитоновна</t>
  </si>
  <si>
    <t>Червонцева Надежда Александровна</t>
  </si>
  <si>
    <t>Давлатова Айджамал Мамарасуловна</t>
  </si>
  <si>
    <t>Исмоилова Олимахон Шавкатовна</t>
  </si>
  <si>
    <t>Пикунова Ирина Леонидовна</t>
  </si>
  <si>
    <t>Воробьева Виталия Владимировна</t>
  </si>
  <si>
    <t>Григуль Елена Сергеевна</t>
  </si>
  <si>
    <t>Соколова Надежда Александровна</t>
  </si>
  <si>
    <t>Дацер Александра Александровна</t>
  </si>
  <si>
    <t>Шульгина Елена Владимировна</t>
  </si>
  <si>
    <t>Горбачева Екатерина Андреевна</t>
  </si>
  <si>
    <t>Зюляева Вера Александровна</t>
  </si>
  <si>
    <t>Посвященная Юлия Михайловна</t>
  </si>
  <si>
    <t>Павлова Светлана Александровна</t>
  </si>
  <si>
    <t>Корюкова Ольга Юрьевна</t>
  </si>
  <si>
    <t>Иванова Светлана Михайловна</t>
  </si>
  <si>
    <t>Николаева Екатерина Андреевна</t>
  </si>
  <si>
    <t>Тошева Юлдузхон</t>
  </si>
  <si>
    <t>Терлецкая Вероника Васильевна</t>
  </si>
  <si>
    <t>Бурма Вера Николаевна</t>
  </si>
  <si>
    <t>Сизых Екатерина Николаевна</t>
  </si>
  <si>
    <t>Самохина Надежда Эдуардовна</t>
  </si>
  <si>
    <t>Паскаль Любовь Александровна</t>
  </si>
  <si>
    <t>Юрьева Екатерина Сергеевна</t>
  </si>
  <si>
    <t>Казакова Анастасия Сергеевна</t>
  </si>
  <si>
    <t>Куприянова Ксения Алексеевна</t>
  </si>
  <si>
    <t>Лазарева Виктория Владимировна</t>
  </si>
  <si>
    <t>Суслова Наталья Геннадиевна</t>
  </si>
  <si>
    <t>Селедцова Любовь Александровна</t>
  </si>
  <si>
    <t>Смирнова Светлана Валентиновна</t>
  </si>
  <si>
    <t>Балюн Елена Леонидовна</t>
  </si>
  <si>
    <t>Зайчикова Наталья Константиновна</t>
  </si>
  <si>
    <t>Белобородова Оксана Михайловна</t>
  </si>
  <si>
    <t>Гришина Светлана Анатольевна</t>
  </si>
  <si>
    <t>Дроникова Анастасия Михайловна</t>
  </si>
  <si>
    <t>Трофимова Софья Николаевна</t>
  </si>
  <si>
    <t>Семенцова Анастасия Александровна</t>
  </si>
  <si>
    <t>Бойкова Альбина Рамизовна</t>
  </si>
  <si>
    <t>Алексеева Ирина Андреевна</t>
  </si>
  <si>
    <t>Булулукова Алена Константиновна</t>
  </si>
  <si>
    <t xml:space="preserve">Варенникова Виктория Валерьевна  </t>
  </si>
  <si>
    <t xml:space="preserve">Листопад Галина Валерьевна                  </t>
  </si>
  <si>
    <t>Маслова Алена Владимировна</t>
  </si>
  <si>
    <t>Щербакова Анастасия Сергеевна</t>
  </si>
  <si>
    <t>Выдрыганова Надежда Вячеславовна</t>
  </si>
  <si>
    <t>Кармышева Анастасия Сергеевна</t>
  </si>
  <si>
    <t>Анащенкова Валентина Анатольевна</t>
  </si>
  <si>
    <t xml:space="preserve">Андреева Татьяна Владимировна    </t>
  </si>
  <si>
    <t>Арнаут Ирина Дмитриевна</t>
  </si>
  <si>
    <r>
      <t>Артебяк</t>
    </r>
    <r>
      <rPr>
        <sz val="11"/>
        <rFont val="Calibri11"/>
        <charset val="2"/>
      </rPr>
      <t>ина Олеся Владимировна</t>
    </r>
  </si>
  <si>
    <t>Атлашкина Любовь Михайловна</t>
  </si>
  <si>
    <t>Ахметшина Яна Владимировна</t>
  </si>
  <si>
    <t xml:space="preserve">Баранова Анна Ивановна                      </t>
  </si>
  <si>
    <t>Безумова Элина Олеговна</t>
  </si>
  <si>
    <t xml:space="preserve">Белкина Мария Владимировна              </t>
  </si>
  <si>
    <t>Бергман Ольга Станиславовна</t>
  </si>
  <si>
    <t>Блинова Полина Александровна</t>
  </si>
  <si>
    <t>Богданова Анна Олеговна</t>
  </si>
  <si>
    <t>Бубнова Анна Дмитриевна</t>
  </si>
  <si>
    <t>Вагайская Александра Дмитриевна</t>
  </si>
  <si>
    <t>Васильева Анастасия Вадимовна</t>
  </si>
  <si>
    <t>Васильева Юлия Валерьевна</t>
  </si>
  <si>
    <t>Ветлева Светлана Анатольевна</t>
  </si>
  <si>
    <t>Гамиловская Надежда Васильевна</t>
  </si>
  <si>
    <t xml:space="preserve">Грибушенкова Анна Геннадьевна      </t>
  </si>
  <si>
    <t>Давыдова Татьяна Андреевна</t>
  </si>
  <si>
    <t>Денисова Анна Дмитриевна</t>
  </si>
  <si>
    <t>Дер Татьяна Валерьевна</t>
  </si>
  <si>
    <t>Домская Ольга Сергеевна</t>
  </si>
  <si>
    <t>Емельянова Наталья Юрьевна</t>
  </si>
  <si>
    <t>Завражнева Карина Валерьевна</t>
  </si>
  <si>
    <t>Зайкина Наиля Рашитовна</t>
  </si>
  <si>
    <t>Зайцева Александра Андреевна</t>
  </si>
  <si>
    <t>Иванова Александра Анатольевна</t>
  </si>
  <si>
    <t>Иванова Юлия Андреевна</t>
  </si>
  <si>
    <t>Иванюк Ольга Вадимовна</t>
  </si>
  <si>
    <r>
      <t>К</t>
    </r>
    <r>
      <rPr>
        <sz val="11"/>
        <rFont val="Calibri"/>
        <family val="2"/>
        <charset val="204"/>
      </rPr>
      <t>азмерковская Валентина Александровна</t>
    </r>
  </si>
  <si>
    <t xml:space="preserve">Кальченко Ольга Александровна          </t>
  </si>
  <si>
    <t>Карабут Инна Николаевна</t>
  </si>
  <si>
    <t>Климова Наталья Николаевна</t>
  </si>
  <si>
    <t>Кожевникова Елена Сергеевна</t>
  </si>
  <si>
    <t>Кораблева Елена Анатольевна</t>
  </si>
  <si>
    <t>Корэн Анастасия Дмитриевна</t>
  </si>
  <si>
    <t>Кравцова Олеся Сергеевна</t>
  </si>
  <si>
    <t>Кузьмина Юлия Михайловна</t>
  </si>
  <si>
    <t xml:space="preserve">Кулагина Екатерина Игоревна   </t>
  </si>
  <si>
    <t>Куликова Варвара Вячеславовна</t>
  </si>
  <si>
    <t xml:space="preserve">Кунаева Надия Талгатовна                      </t>
  </si>
  <si>
    <t>Лаврухина Валерия Александровна</t>
  </si>
  <si>
    <t>Лобакова Ольга Владимировна</t>
  </si>
  <si>
    <t>Ложкова Ульяна Владимировна</t>
  </si>
  <si>
    <t>Лукина Мария Михайловна</t>
  </si>
  <si>
    <t>Любунь Анна Евгеньевна</t>
  </si>
  <si>
    <t>Петрова Полина Алксандровна</t>
  </si>
  <si>
    <t>Пинкевичуте Юлия Васильевна</t>
  </si>
  <si>
    <t>Романова Ирина Леонидовна</t>
  </si>
  <si>
    <t>Сухаева Эльвира Ринатовна</t>
  </si>
  <si>
    <t>Хомяк Ольга александровна</t>
  </si>
  <si>
    <t>Чернышева Александра Викторовна</t>
  </si>
  <si>
    <t>Шакарян Сианна Артуровна</t>
  </si>
  <si>
    <t>Шевченко Жанна Олеговна</t>
  </si>
  <si>
    <t>Шубкина Елена Юрьевна</t>
  </si>
  <si>
    <t>Шульгина Рита Левоновна</t>
  </si>
  <si>
    <t>Юрченко Елена Викторовна</t>
  </si>
  <si>
    <t>Юрченко Инна Александровна</t>
  </si>
  <si>
    <t>Яньшина Ольга Анатольевна</t>
  </si>
  <si>
    <t xml:space="preserve">Яфясова Татьяна Владимировна             </t>
  </si>
  <si>
    <t>Рыбалко Анна Владимировна</t>
  </si>
  <si>
    <t>Гурова Елена Александровна</t>
  </si>
  <si>
    <t>Найденко Юлия Игоревна</t>
  </si>
  <si>
    <t>Максунова Екатерина Жавлиевна</t>
  </si>
  <si>
    <t>Матвеева Ольга Дмитриевна</t>
  </si>
  <si>
    <t>Пинаевская Ольга Алексеевна</t>
  </si>
  <si>
    <t>Киселева Екатерина Андреевна</t>
  </si>
  <si>
    <t>Лошуткова Екатерина Алексеевна</t>
  </si>
  <si>
    <t>Пульман Мария Вальтеровна</t>
  </si>
  <si>
    <t>Щербакова Юлия Витальевна</t>
  </si>
  <si>
    <t>Байкова Дарья Олеговна</t>
  </si>
  <si>
    <t>Андреева Елизавета Александровна</t>
  </si>
  <si>
    <t>Аллоязова Замира Шухратовна</t>
  </si>
  <si>
    <t>Ан Анастасия Родионовна</t>
  </si>
  <si>
    <t>Андреева Олеся Владимировна</t>
  </si>
  <si>
    <t>Андреева Ольга Андреевна</t>
  </si>
  <si>
    <t>Бабунова Ирина Евгеньевна</t>
  </si>
  <si>
    <t>Балашевич Ирина Геннадьевна</t>
  </si>
  <si>
    <t>Балыбердина Дина Станиславовна</t>
  </si>
  <si>
    <t>Богданова Татьяна Юрьевна</t>
  </si>
  <si>
    <t>Булаева Ксения Алексеевна</t>
  </si>
  <si>
    <t>Бурянина Оксана Михайловна</t>
  </si>
  <si>
    <t>Васильева Елена Сергеевна</t>
  </si>
  <si>
    <t>Волкова Яна Андреевна</t>
  </si>
  <si>
    <t>Герасенкова Анна Алексеевна</t>
  </si>
  <si>
    <t>Герчикова Виктория Денисовна</t>
  </si>
  <si>
    <t>Григорьева Наталья Федоровна</t>
  </si>
  <si>
    <t>Григорьева татьяна Александровна</t>
  </si>
  <si>
    <t>Грошева Елена Анатольевна</t>
  </si>
  <si>
    <t>Джайлаубаева Татьяна Александровна</t>
  </si>
  <si>
    <t>Евсюкова Елена Владимировна</t>
  </si>
  <si>
    <t>Етумян Ануш Аветиковна</t>
  </si>
  <si>
    <t>Иванова Екатерина Михайловна</t>
  </si>
  <si>
    <t>Иванцова татьяна Маратовна</t>
  </si>
  <si>
    <t>Калманова Ольга валерьевна</t>
  </si>
  <si>
    <t>Капцова Ольга Борисовна</t>
  </si>
  <si>
    <t>Кожевникова Ольга Александровна</t>
  </si>
  <si>
    <t>Корягова Мария Григорьевна</t>
  </si>
  <si>
    <t>Крыга Анастасия Александровна</t>
  </si>
  <si>
    <t>Кутузова Олга Сергеевна</t>
  </si>
  <si>
    <t>Лацман Елена викторовна</t>
  </si>
  <si>
    <t>Легонькова Алина владимировна</t>
  </si>
  <si>
    <t>Макарова Ольга Викторовна</t>
  </si>
  <si>
    <t>Макеева Дарина Александровна</t>
  </si>
  <si>
    <t>Максимова Елена Ивановна</t>
  </si>
  <si>
    <t>Мальцева Елена Валерьевна</t>
  </si>
  <si>
    <t>Марчева Юлия Альбертовна</t>
  </si>
  <si>
    <t>Мельникова Татьяна Николаевна</t>
  </si>
  <si>
    <t>Назарова Анастасия Сергеевна</t>
  </si>
  <si>
    <t>Наумова Ирина Станиславовна</t>
  </si>
  <si>
    <t>Несытова Ольга Владимировна</t>
  </si>
  <si>
    <t>Никулина Марина Викторовна</t>
  </si>
  <si>
    <t>Никулина светлана Викторовна</t>
  </si>
  <si>
    <t>Новосельцева Татьяна Викторовна</t>
  </si>
  <si>
    <t>Окишева Светлана Анатольевна</t>
  </si>
  <si>
    <t>Орлова Зинаида Викторовна</t>
  </si>
  <si>
    <t>Павлова Алина Александровна</t>
  </si>
  <si>
    <t>Пйодь надежда Олеговна</t>
  </si>
  <si>
    <t>Пузырева Виктория Владимировна</t>
  </si>
  <si>
    <t>Пшеничникова Наталья Алексеевна</t>
  </si>
  <si>
    <t>Радецкая Валентина Александровна</t>
  </si>
  <si>
    <t>Рогова Анастасия Дмитриевна</t>
  </si>
  <si>
    <t>Ростовцева Надежда Александровна</t>
  </si>
  <si>
    <t>Рыбакова Наталья Александровна</t>
  </si>
  <si>
    <t>Сальникова Наталия Алексеевна</t>
  </si>
  <si>
    <t>Свиженко Елена Александровна</t>
  </si>
  <si>
    <t>Тарновская Светлана Игоревна</t>
  </si>
  <si>
    <t>Томчук Наталия Сергеевна</t>
  </si>
  <si>
    <t>Умнова Анастасия Александровна</t>
  </si>
  <si>
    <t>Федорова Анна Николаевна</t>
  </si>
  <si>
    <t>Халтуринская Татьяна Владимировна</t>
  </si>
  <si>
    <t>Хмелевская Анна Валерьевна</t>
  </si>
  <si>
    <t>Четырина Ольга Васильевна</t>
  </si>
  <si>
    <t>Яценко Ольга Кирилловна</t>
  </si>
  <si>
    <t>Бычкова Ольга Николаевна</t>
  </si>
  <si>
    <t>Пясткина Наталия Сергеевна</t>
  </si>
  <si>
    <t>Аскерова Ирада Валерий Кызы</t>
  </si>
  <si>
    <t>Ткаченко Екатерина Ивановна</t>
  </si>
  <si>
    <t>Баранова Оксана Васильевна</t>
  </si>
  <si>
    <t>Хаутиева Марета Хусейновна</t>
  </si>
  <si>
    <t>Каширина Ирина Александровна</t>
  </si>
  <si>
    <t>Ульянова Светлана Сергеевна</t>
  </si>
  <si>
    <t>Терентьева Татьяна Владимировна</t>
  </si>
  <si>
    <t>Паникаровская Екатерина Станиславовна</t>
  </si>
  <si>
    <t>Калинина Наталья Александровна</t>
  </si>
  <si>
    <t>Балашова Алеся Анатольевна</t>
  </si>
  <si>
    <t>Семида Любовь Витальевна</t>
  </si>
  <si>
    <t>Шаймарданова Екатерина Алексеевна</t>
  </si>
  <si>
    <t>Яркова Светлана Анузовна</t>
  </si>
  <si>
    <t>Верещук Александра Михайловна</t>
  </si>
  <si>
    <t>Мостепан Алеся Геннадиевна</t>
  </si>
  <si>
    <t>возраст</t>
  </si>
  <si>
    <t>с/в</t>
  </si>
  <si>
    <t>и/а</t>
  </si>
  <si>
    <t>ССС</t>
  </si>
  <si>
    <t>МВС</t>
  </si>
  <si>
    <t>ЖКТ</t>
  </si>
  <si>
    <t>Системные</t>
  </si>
  <si>
    <t>Эндокринные</t>
  </si>
  <si>
    <t>Дыхательные</t>
  </si>
  <si>
    <t>ЦНС</t>
  </si>
  <si>
    <t>Гематология</t>
  </si>
  <si>
    <t>ЛОР</t>
  </si>
  <si>
    <t>Тромбозы</t>
  </si>
  <si>
    <t>воспалит</t>
  </si>
  <si>
    <t>CIN</t>
  </si>
  <si>
    <t>эндометриоз</t>
  </si>
  <si>
    <t>миома</t>
  </si>
  <si>
    <t>кисты</t>
  </si>
  <si>
    <t>ИППП</t>
  </si>
  <si>
    <t>ФКМП</t>
  </si>
  <si>
    <t>Бесплодие</t>
  </si>
  <si>
    <t>Аномалии развития</t>
  </si>
  <si>
    <t>Срочные</t>
  </si>
  <si>
    <t>Поздние ПР (34-36)</t>
  </si>
  <si>
    <t>Ранние ПР (32 - 33)</t>
  </si>
  <si>
    <t>Очень ранние ПР (28-31)</t>
  </si>
  <si>
    <t>Экстремальное ранние</t>
  </si>
  <si>
    <t>КС</t>
  </si>
  <si>
    <t>ЕРП</t>
  </si>
  <si>
    <t>Индуцированный выкидыш по медицинским показаниям</t>
  </si>
  <si>
    <t>вес ребенка</t>
  </si>
  <si>
    <t>рост ребенка</t>
  </si>
  <si>
    <t>вес 2го ребенка</t>
  </si>
  <si>
    <t>рост 2го ребенка</t>
  </si>
  <si>
    <t>вес 3го ребенка</t>
  </si>
  <si>
    <t>рост 3го ребенка</t>
  </si>
  <si>
    <t>Химиотерапия во время беременности</t>
  </si>
  <si>
    <t>2 и менее циклов ХТ</t>
  </si>
  <si>
    <t>более 2 циклов</t>
  </si>
  <si>
    <t>АС (доксорубицин+циклофосфамид)</t>
  </si>
  <si>
    <t>TCb (паклитаксел+карбоплатин)</t>
  </si>
  <si>
    <t>другое</t>
  </si>
  <si>
    <t>Наличие лечения</t>
  </si>
  <si>
    <t>РМЖ</t>
  </si>
  <si>
    <t>РЯ</t>
  </si>
  <si>
    <t>РШМ</t>
  </si>
  <si>
    <t>РЩЖ</t>
  </si>
  <si>
    <t>Меланома</t>
  </si>
  <si>
    <t>РЖ</t>
  </si>
  <si>
    <t>КРР</t>
  </si>
  <si>
    <t>Рак ГМ</t>
  </si>
  <si>
    <t>РТМ</t>
  </si>
  <si>
    <t>Остальное</t>
  </si>
  <si>
    <t>Анемия</t>
  </si>
  <si>
    <t>ПЭ</t>
  </si>
  <si>
    <t>Маловодие</t>
  </si>
  <si>
    <t>ПИОВ</t>
  </si>
  <si>
    <t>НМПК</t>
  </si>
  <si>
    <t>ЗРП</t>
  </si>
  <si>
    <t>Отеки</t>
  </si>
  <si>
    <t>ГСД</t>
  </si>
  <si>
    <t>ИЦН</t>
  </si>
  <si>
    <t>ПОНРП</t>
  </si>
  <si>
    <t>жива</t>
  </si>
  <si>
    <t>диагноз</t>
  </si>
  <si>
    <t>дата смерти</t>
  </si>
  <si>
    <t xml:space="preserve"> -</t>
  </si>
  <si>
    <t xml:space="preserve">  02.2022</t>
  </si>
  <si>
    <t xml:space="preserve">  01.2018</t>
  </si>
  <si>
    <t xml:space="preserve"> ?</t>
  </si>
  <si>
    <r>
      <t xml:space="preserve"> </t>
    </r>
    <r>
      <rPr>
        <b/>
        <sz val="11"/>
        <color rgb="FFFF0000"/>
        <rFont val="Calibri"/>
        <family val="2"/>
        <charset val="204"/>
      </rPr>
      <t>?</t>
    </r>
  </si>
  <si>
    <t>?последний осмотр 12.2021</t>
  </si>
  <si>
    <r>
      <t xml:space="preserve"> </t>
    </r>
    <r>
      <rPr>
        <sz val="11"/>
        <color theme="1"/>
        <rFont val="Calibri"/>
        <family val="2"/>
        <scheme val="minor"/>
      </rPr>
      <t>-</t>
    </r>
  </si>
  <si>
    <t>?</t>
  </si>
  <si>
    <t>наблюдается 2024</t>
  </si>
  <si>
    <t>последний осмотр 06.2019</t>
  </si>
  <si>
    <t>роды в нанамнезе</t>
  </si>
  <si>
    <t>первобеременная</t>
  </si>
  <si>
    <t>первородящая</t>
  </si>
  <si>
    <t>повторнородящая</t>
  </si>
  <si>
    <t xml:space="preserve">повторнобеременная </t>
  </si>
  <si>
    <t>Лейкоциты матери после родов</t>
  </si>
  <si>
    <t>Эритроциты матери после родов</t>
  </si>
  <si>
    <t>тромбоциты матери после родов</t>
  </si>
  <si>
    <t>гемонлобин новорожденного</t>
  </si>
  <si>
    <t>Тромбоциты новорожденного</t>
  </si>
  <si>
    <t>лейкоциты новорожденного</t>
  </si>
  <si>
    <t>гемоглобин новорожденного 2</t>
  </si>
  <si>
    <t>тромбоциты новорожденного 2</t>
  </si>
  <si>
    <t>лейкоциты новорожденного 2</t>
  </si>
  <si>
    <t>гемоглобин новорожденного 3</t>
  </si>
  <si>
    <t>тромбоциты новорожденного 3</t>
  </si>
  <si>
    <t>лейкоциты новорожденного 3</t>
  </si>
  <si>
    <t>Гемоглобин матери после родов</t>
  </si>
  <si>
    <t>акушерские причины ПР</t>
  </si>
  <si>
    <t>плодовые причины ПР</t>
  </si>
  <si>
    <t>прогрессирование заболевания</t>
  </si>
  <si>
    <t>спонтанное начало родовой деятельности</t>
  </si>
  <si>
    <t>отказ от лечения</t>
  </si>
  <si>
    <t xml:space="preserve"> 19.01.2021</t>
  </si>
  <si>
    <t xml:space="preserve"> 01.02.2020</t>
  </si>
  <si>
    <t xml:space="preserve">  30.01.2017</t>
  </si>
  <si>
    <t>дата установления диагноза</t>
  </si>
  <si>
    <t>06.0424</t>
  </si>
  <si>
    <t xml:space="preserve"> IX/2020</t>
  </si>
  <si>
    <t xml:space="preserve">жива на данный момент </t>
  </si>
  <si>
    <t>рецидив</t>
  </si>
  <si>
    <t>результат не известен</t>
  </si>
  <si>
    <t>умерла</t>
  </si>
  <si>
    <t>группа D</t>
  </si>
  <si>
    <t>группа F</t>
  </si>
  <si>
    <t>контрольная группа</t>
  </si>
  <si>
    <t>Контрольная группа</t>
  </si>
  <si>
    <t>лейкоциты</t>
  </si>
  <si>
    <t>тромбоциты</t>
  </si>
  <si>
    <t>гемоглобин</t>
  </si>
  <si>
    <t>ср знач</t>
  </si>
  <si>
    <t>ст откл</t>
  </si>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</sst>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mmm&quot;.&quot;yy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color rgb="FF000000"/>
      <name val="Arial11"/>
      <charset val="204"/>
    </font>
    <font>
      <sz val="11"/>
      <name val="Times New Roman"/>
      <family val="1"/>
      <charset val="204"/>
    </font>
    <font>
      <b/>
      <i/>
      <sz val="11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name val="Arial11"/>
      <charset val="204"/>
    </font>
    <font>
      <sz val="11"/>
      <name val="Calibri11"/>
      <charset val="2"/>
    </font>
    <font>
      <sz val="11"/>
      <name val="Calibri"/>
      <family val="2"/>
      <charset val="204"/>
    </font>
    <font>
      <b/>
      <i/>
      <sz val="11"/>
      <name val="Arial1"/>
      <charset val="204"/>
    </font>
    <font>
      <sz val="11"/>
      <name val="Arial1"/>
      <charset val="204"/>
    </font>
    <font>
      <b/>
      <sz val="11"/>
      <color rgb="FF000000"/>
      <name val="Calibri"/>
      <family val="2"/>
      <charset val="204"/>
    </font>
    <font>
      <b/>
      <i/>
      <sz val="11"/>
      <color rgb="FF7030A0"/>
      <name val="Calibri"/>
      <family val="2"/>
      <charset val="204"/>
    </font>
    <font>
      <b/>
      <i/>
      <sz val="11"/>
      <color rgb="FF7030A0"/>
      <name val="Arial1"/>
      <charset val="204"/>
    </font>
    <font>
      <sz val="11"/>
      <color rgb="FF000000"/>
      <name val="Arial1"/>
      <charset val="204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Arial1"/>
      <charset val="204"/>
    </font>
    <font>
      <sz val="12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rgb="FF000000"/>
      <name val="Arial11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6C6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ont="0" applyBorder="0" applyProtection="0"/>
    <xf numFmtId="0" fontId="5" fillId="0" borderId="0" applyNumberFormat="0" applyBorder="0" applyProtection="0"/>
  </cellStyleXfs>
  <cellXfs count="106">
    <xf numFmtId="0" fontId="0" fillId="0" borderId="0" xfId="0"/>
    <xf numFmtId="0" fontId="0" fillId="0" borderId="0" xfId="1" applyFont="1"/>
    <xf numFmtId="0" fontId="3" fillId="0" borderId="0" xfId="0" applyFont="1"/>
    <xf numFmtId="0" fontId="3" fillId="0" borderId="0" xfId="1" applyFont="1"/>
    <xf numFmtId="0" fontId="4" fillId="0" borderId="0" xfId="0" applyFont="1"/>
    <xf numFmtId="0" fontId="6" fillId="0" borderId="0" xfId="2" applyFont="1"/>
    <xf numFmtId="0" fontId="7" fillId="0" borderId="0" xfId="0" applyFont="1"/>
    <xf numFmtId="0" fontId="9" fillId="0" borderId="0" xfId="2" applyFont="1"/>
    <xf numFmtId="0" fontId="5" fillId="0" borderId="0" xfId="2"/>
    <xf numFmtId="0" fontId="4" fillId="0" borderId="0" xfId="1" applyFont="1"/>
    <xf numFmtId="0" fontId="7" fillId="0" borderId="0" xfId="1" applyFont="1"/>
    <xf numFmtId="0" fontId="11" fillId="0" borderId="0" xfId="0" applyFont="1"/>
    <xf numFmtId="0" fontId="13" fillId="0" borderId="0" xfId="2" applyFont="1"/>
    <xf numFmtId="0" fontId="0" fillId="2" borderId="0" xfId="0" applyFill="1"/>
    <xf numFmtId="0" fontId="0" fillId="4" borderId="0" xfId="0" applyFill="1"/>
    <xf numFmtId="0" fontId="14" fillId="0" borderId="0" xfId="0" applyFont="1"/>
    <xf numFmtId="0" fontId="15" fillId="0" borderId="0" xfId="1" applyFont="1"/>
    <xf numFmtId="0" fontId="17" fillId="0" borderId="0" xfId="2" applyFont="1"/>
    <xf numFmtId="0" fontId="18" fillId="0" borderId="0" xfId="1" applyFont="1"/>
    <xf numFmtId="0" fontId="18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3" fillId="3" borderId="0" xfId="2" applyFont="1" applyFill="1"/>
    <xf numFmtId="0" fontId="11" fillId="0" borderId="0" xfId="1" applyFont="1"/>
    <xf numFmtId="0" fontId="20" fillId="0" borderId="0" xfId="2" applyFont="1"/>
    <xf numFmtId="0" fontId="18" fillId="3" borderId="0" xfId="0" applyFont="1" applyFill="1"/>
    <xf numFmtId="0" fontId="20" fillId="3" borderId="0" xfId="2" applyFont="1" applyFill="1"/>
    <xf numFmtId="0" fontId="19" fillId="3" borderId="0" xfId="0" applyFont="1" applyFill="1"/>
    <xf numFmtId="0" fontId="19" fillId="0" borderId="0" xfId="1" applyFont="1"/>
    <xf numFmtId="0" fontId="18" fillId="8" borderId="0" xfId="0" applyFont="1" applyFill="1"/>
    <xf numFmtId="0" fontId="0" fillId="9" borderId="0" xfId="0" applyFill="1"/>
    <xf numFmtId="0" fontId="21" fillId="10" borderId="2" xfId="0" applyFont="1" applyFill="1" applyBorder="1" applyAlignment="1">
      <alignment vertical="center" wrapText="1"/>
    </xf>
    <xf numFmtId="0" fontId="0" fillId="10" borderId="0" xfId="0" applyFill="1"/>
    <xf numFmtId="164" fontId="0" fillId="0" borderId="0" xfId="1" applyNumberFormat="1" applyFont="1"/>
    <xf numFmtId="164" fontId="0" fillId="0" borderId="0" xfId="0" applyNumberFormat="1"/>
    <xf numFmtId="164" fontId="22" fillId="3" borderId="0" xfId="0" applyNumberFormat="1" applyFont="1" applyFill="1"/>
    <xf numFmtId="164" fontId="0" fillId="3" borderId="0" xfId="0" applyNumberFormat="1" applyFill="1"/>
    <xf numFmtId="164" fontId="0" fillId="11" borderId="0" xfId="0" applyNumberFormat="1" applyFill="1"/>
    <xf numFmtId="164" fontId="0" fillId="3" borderId="0" xfId="1" applyNumberFormat="1" applyFont="1" applyFill="1"/>
    <xf numFmtId="0" fontId="22" fillId="0" borderId="0" xfId="0" applyFont="1"/>
    <xf numFmtId="164" fontId="23" fillId="0" borderId="0" xfId="0" applyNumberFormat="1" applyFont="1"/>
    <xf numFmtId="164" fontId="0" fillId="2" borderId="0" xfId="0" applyNumberFormat="1" applyFill="1"/>
    <xf numFmtId="164" fontId="22" fillId="0" borderId="0" xfId="0" applyNumberFormat="1" applyFont="1"/>
    <xf numFmtId="0" fontId="0" fillId="3" borderId="0" xfId="0" applyFill="1"/>
    <xf numFmtId="0" fontId="5" fillId="12" borderId="0" xfId="2" applyFill="1"/>
    <xf numFmtId="0" fontId="23" fillId="3" borderId="0" xfId="1" applyFont="1" applyFill="1"/>
    <xf numFmtId="0" fontId="0" fillId="3" borderId="0" xfId="1" applyFont="1" applyFill="1"/>
    <xf numFmtId="0" fontId="0" fillId="2" borderId="0" xfId="1" applyFont="1" applyFill="1"/>
    <xf numFmtId="17" fontId="5" fillId="13" borderId="0" xfId="2" applyNumberFormat="1" applyFill="1"/>
    <xf numFmtId="0" fontId="0" fillId="14" borderId="0" xfId="0" applyFill="1"/>
    <xf numFmtId="49" fontId="0" fillId="0" borderId="0" xfId="0" applyNumberFormat="1"/>
    <xf numFmtId="49" fontId="0" fillId="10" borderId="0" xfId="0" applyNumberFormat="1" applyFill="1" applyProtection="1">
      <protection locked="0"/>
    </xf>
    <xf numFmtId="49" fontId="0" fillId="0" borderId="0" xfId="1" applyNumberFormat="1" applyFont="1" applyProtection="1">
      <protection locked="0"/>
    </xf>
    <xf numFmtId="49" fontId="0" fillId="0" borderId="0" xfId="0" applyNumberFormat="1" applyProtection="1">
      <protection locked="0"/>
    </xf>
    <xf numFmtId="0" fontId="3" fillId="2" borderId="0" xfId="0" applyFont="1" applyFill="1"/>
    <xf numFmtId="0" fontId="18" fillId="2" borderId="0" xfId="0" applyFont="1" applyFill="1"/>
    <xf numFmtId="49" fontId="0" fillId="2" borderId="0" xfId="0" applyNumberFormat="1" applyFill="1" applyProtection="1">
      <protection locked="0"/>
    </xf>
    <xf numFmtId="164" fontId="0" fillId="15" borderId="0" xfId="0" applyNumberFormat="1" applyFill="1"/>
    <xf numFmtId="0" fontId="3" fillId="2" borderId="0" xfId="1" applyFont="1" applyFill="1"/>
    <xf numFmtId="0" fontId="18" fillId="2" borderId="0" xfId="1" applyFont="1" applyFill="1"/>
    <xf numFmtId="165" fontId="0" fillId="15" borderId="0" xfId="1" applyNumberFormat="1" applyFont="1" applyFill="1" applyAlignment="1">
      <alignment horizontal="left"/>
    </xf>
    <xf numFmtId="0" fontId="4" fillId="2" borderId="0" xfId="0" applyFont="1" applyFill="1"/>
    <xf numFmtId="0" fontId="7" fillId="2" borderId="0" xfId="0" applyFont="1" applyFill="1"/>
    <xf numFmtId="0" fontId="19" fillId="2" borderId="0" xfId="0" applyFont="1" applyFill="1"/>
    <xf numFmtId="0" fontId="8" fillId="2" borderId="0" xfId="0" applyFont="1" applyFill="1"/>
    <xf numFmtId="164" fontId="8" fillId="15" borderId="0" xfId="0" applyNumberFormat="1" applyFont="1" applyFill="1"/>
    <xf numFmtId="49" fontId="0" fillId="2" borderId="0" xfId="1" applyNumberFormat="1" applyFont="1" applyFill="1" applyProtection="1">
      <protection locked="0"/>
    </xf>
    <xf numFmtId="0" fontId="4" fillId="2" borderId="0" xfId="1" applyFont="1" applyFill="1"/>
    <xf numFmtId="0" fontId="3" fillId="2" borderId="1" xfId="0" applyFont="1" applyFill="1" applyBorder="1"/>
    <xf numFmtId="0" fontId="18" fillId="2" borderId="1" xfId="0" applyFont="1" applyFill="1" applyBorder="1"/>
    <xf numFmtId="0" fontId="0" fillId="2" borderId="1" xfId="0" applyFill="1" applyBorder="1"/>
    <xf numFmtId="164" fontId="0" fillId="3" borderId="1" xfId="0" applyNumberFormat="1" applyFill="1" applyBorder="1"/>
    <xf numFmtId="0" fontId="11" fillId="2" borderId="0" xfId="0" applyFont="1" applyFill="1"/>
    <xf numFmtId="0" fontId="12" fillId="2" borderId="0" xfId="2" applyFont="1" applyFill="1"/>
    <xf numFmtId="0" fontId="16" fillId="2" borderId="0" xfId="2" applyFont="1" applyFill="1"/>
    <xf numFmtId="0" fontId="15" fillId="2" borderId="0" xfId="0" applyFont="1" applyFill="1"/>
    <xf numFmtId="0" fontId="15" fillId="2" borderId="0" xfId="1" applyFont="1" applyFill="1"/>
    <xf numFmtId="14" fontId="0" fillId="0" borderId="0" xfId="0" applyNumberFormat="1"/>
    <xf numFmtId="0" fontId="14" fillId="3" borderId="0" xfId="0" applyFont="1" applyFill="1"/>
    <xf numFmtId="164" fontId="14" fillId="3" borderId="0" xfId="1" applyNumberFormat="1" applyFont="1" applyFill="1"/>
    <xf numFmtId="164" fontId="14" fillId="0" borderId="0" xfId="1" applyNumberFormat="1" applyFont="1" applyAlignment="1">
      <alignment horizontal="left"/>
    </xf>
    <xf numFmtId="164" fontId="14" fillId="0" borderId="0" xfId="0" applyNumberFormat="1" applyFont="1" applyAlignment="1">
      <alignment horizontal="left"/>
    </xf>
    <xf numFmtId="164" fontId="14" fillId="3" borderId="0" xfId="0" applyNumberFormat="1" applyFont="1" applyFill="1" applyAlignment="1">
      <alignment horizontal="left"/>
    </xf>
    <xf numFmtId="164" fontId="14" fillId="3" borderId="0" xfId="1" applyNumberFormat="1" applyFont="1" applyFill="1" applyAlignment="1">
      <alignment horizontal="left"/>
    </xf>
    <xf numFmtId="165" fontId="14" fillId="3" borderId="0" xfId="0" applyNumberFormat="1" applyFont="1" applyFill="1"/>
    <xf numFmtId="164" fontId="25" fillId="0" borderId="0" xfId="2" applyNumberFormat="1" applyFont="1" applyAlignment="1">
      <alignment horizontal="left"/>
    </xf>
    <xf numFmtId="164" fontId="14" fillId="0" borderId="0" xfId="1" applyNumberFormat="1" applyFont="1"/>
    <xf numFmtId="164" fontId="14" fillId="0" borderId="0" xfId="0" applyNumberFormat="1" applyFont="1"/>
    <xf numFmtId="164" fontId="14" fillId="3" borderId="0" xfId="0" applyNumberFormat="1" applyFont="1" applyFill="1"/>
    <xf numFmtId="164" fontId="8" fillId="3" borderId="0" xfId="0" applyNumberFormat="1" applyFont="1" applyFill="1"/>
    <xf numFmtId="164" fontId="5" fillId="12" borderId="0" xfId="2" applyNumberFormat="1" applyFill="1"/>
    <xf numFmtId="165" fontId="0" fillId="3" borderId="0" xfId="1" applyNumberFormat="1" applyFont="1" applyFill="1"/>
    <xf numFmtId="164" fontId="14" fillId="12" borderId="0" xfId="0" applyNumberFormat="1" applyFont="1" applyFill="1" applyAlignment="1">
      <alignment horizontal="left"/>
    </xf>
    <xf numFmtId="17" fontId="0" fillId="2" borderId="0" xfId="0" applyNumberFormat="1" applyFill="1"/>
    <xf numFmtId="14" fontId="0" fillId="2" borderId="0" xfId="0" applyNumberFormat="1" applyFill="1"/>
    <xf numFmtId="17" fontId="0" fillId="0" borderId="0" xfId="0" applyNumberFormat="1"/>
    <xf numFmtId="0" fontId="0" fillId="16" borderId="0" xfId="0" applyFill="1"/>
    <xf numFmtId="0" fontId="3" fillId="16" borderId="0" xfId="0" applyFont="1" applyFill="1"/>
    <xf numFmtId="0" fontId="18" fillId="16" borderId="0" xfId="1" applyFont="1" applyFill="1"/>
    <xf numFmtId="0" fontId="14" fillId="16" borderId="0" xfId="0" applyFont="1" applyFill="1"/>
    <xf numFmtId="0" fontId="18" fillId="16" borderId="0" xfId="0" applyFont="1" applyFill="1"/>
    <xf numFmtId="49" fontId="0" fillId="16" borderId="0" xfId="0" applyNumberFormat="1" applyFill="1" applyProtection="1">
      <protection locked="0"/>
    </xf>
    <xf numFmtId="0" fontId="24" fillId="0" borderId="0" xfId="0" quotePrefix="1" applyNumberFormat="1" applyFont="1" applyProtection="1">
      <protection locked="0"/>
    </xf>
    <xf numFmtId="0" fontId="0" fillId="0" borderId="0" xfId="0" applyNumberFormat="1" applyProtection="1">
      <protection locked="0"/>
    </xf>
    <xf numFmtId="0" fontId="0" fillId="2" borderId="0" xfId="0" applyNumberFormat="1" applyFill="1" applyProtection="1">
      <protection locked="0"/>
    </xf>
  </cellXfs>
  <cellStyles count="3">
    <cellStyle name="Excel Built-in Normal" xfId="1" xr:uid="{A6976AB4-DD5C-4200-8614-C8944B55F862}"/>
    <cellStyle name="Обычный" xfId="0" builtinId="0"/>
    <cellStyle name="Обычный 2" xfId="2" xr:uid="{CF025329-E046-4421-854B-BA0999A0FC18}"/>
  </cellStyles>
  <dxfs count="0"/>
  <tableStyles count="0" defaultTableStyle="TableStyleMedium2" defaultPivotStyle="PivotStyleLight16"/>
  <colors>
    <mruColors>
      <color rgb="FFFA86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AD5A4793-25D6-47AA-BFA8-FFAB5B10AC7E}">
          <cx:tx>
            <cx:txData>
              <cx:f>_xlchart.v1.0</cx:f>
              <cx:v>группа 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8E4D699-1061-48B4-B1F3-A8B85ED7BB1D}">
          <cx:tx>
            <cx:txData>
              <cx:f>_xlchart.v1.2</cx:f>
              <cx:v>группа F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7BF6085-5B37-4075-89F1-86D60C0D3AE2}">
          <cx:tx>
            <cx:txData>
              <cx:f>_xlchart.v1.4</cx:f>
              <cx:v>контрольная группа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plotArea>
      <cx:plotAreaRegion>
        <cx:series layoutId="boxWhisker" uniqueId="{8E5E3412-0CB2-4144-974E-210CDBDAA412}">
          <cx:tx>
            <cx:txData>
              <cx:f>_xlchart.v1.6</cx:f>
              <cx:v>группа 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AACFEBE-BDD9-495E-A027-A23ACEF8E571}">
          <cx:tx>
            <cx:txData>
              <cx:f>_xlchart.v1.8</cx:f>
              <cx:v>группа F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47887D-36F5-4B43-BC69-4F61B8223FA7}">
          <cx:tx>
            <cx:txData>
              <cx:f>_xlchart.v1.10</cx:f>
              <cx:v>Контрольная группа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65</xdr:row>
      <xdr:rowOff>3810</xdr:rowOff>
    </xdr:from>
    <xdr:to>
      <xdr:col>15</xdr:col>
      <xdr:colOff>228600</xdr:colOff>
      <xdr:row>80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D51862F9-4546-444D-DCBC-7497717375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891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3810</xdr:rowOff>
    </xdr:from>
    <xdr:to>
      <xdr:col>15</xdr:col>
      <xdr:colOff>228600</xdr:colOff>
      <xdr:row>22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61C086C2-154E-49A8-30FA-2F255CA9C9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2839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29"/>
  <sheetViews>
    <sheetView tabSelected="1" zoomScale="90" zoomScaleNormal="90" workbookViewId="0">
      <pane xSplit="1" ySplit="1" topLeftCell="BJ2" activePane="bottomRight" state="frozen"/>
      <selection pane="topRight" activeCell="B1" sqref="B1"/>
      <selection pane="bottomLeft" activeCell="A2" sqref="A2"/>
      <selection pane="bottomRight" activeCell="BX206" sqref="BX206"/>
    </sheetView>
  </sheetViews>
  <sheetFormatPr defaultRowHeight="14.4"/>
  <cols>
    <col min="1" max="1" width="35" customWidth="1"/>
    <col min="2" max="2" width="8.88671875" style="19"/>
    <col min="3" max="3" width="16.88671875" style="19" customWidth="1"/>
    <col min="4" max="4" width="6.33203125" style="19" customWidth="1"/>
    <col min="5" max="5" width="6.88671875" style="19" customWidth="1"/>
    <col min="6" max="9" width="14.77734375" style="19" customWidth="1"/>
    <col min="37" max="37" width="8.88671875" customWidth="1"/>
    <col min="44" max="44" width="11.77734375" customWidth="1"/>
    <col min="47" max="47" width="14.21875" customWidth="1"/>
    <col min="48" max="53" width="8.88671875" style="19"/>
    <col min="54" max="54" width="15.21875" style="19" customWidth="1"/>
    <col min="55" max="55" width="16.109375" style="19" customWidth="1"/>
    <col min="56" max="56" width="14.44140625" style="19" customWidth="1"/>
    <col min="57" max="57" width="13.44140625" customWidth="1"/>
    <col min="58" max="58" width="11" customWidth="1"/>
    <col min="59" max="59" width="11.5546875" customWidth="1"/>
    <col min="73" max="73" width="8.88671875" style="54"/>
    <col min="74" max="74" width="12.21875" customWidth="1"/>
    <col min="82" max="82" width="10.77734375" bestFit="1" customWidth="1"/>
    <col min="86" max="86" width="31.21875" customWidth="1"/>
    <col min="87" max="87" width="22.88671875" customWidth="1"/>
    <col min="88" max="88" width="23.109375" customWidth="1"/>
    <col min="89" max="89" width="21.77734375" customWidth="1"/>
    <col min="92" max="92" width="11.21875" bestFit="1" customWidth="1"/>
    <col min="96" max="96" width="11" bestFit="1" customWidth="1"/>
  </cols>
  <sheetData>
    <row r="1" spans="1:97" ht="16.2" thickBot="1">
      <c r="A1" s="1" t="s">
        <v>0</v>
      </c>
      <c r="B1" s="18" t="s">
        <v>1</v>
      </c>
      <c r="C1" s="18" t="s">
        <v>304</v>
      </c>
      <c r="D1" s="18" t="s">
        <v>229</v>
      </c>
      <c r="E1" s="18" t="s">
        <v>230</v>
      </c>
      <c r="F1" s="18" t="s">
        <v>305</v>
      </c>
      <c r="G1" s="18" t="s">
        <v>308</v>
      </c>
      <c r="H1" s="18" t="s">
        <v>306</v>
      </c>
      <c r="I1" s="18" t="s">
        <v>307</v>
      </c>
      <c r="J1" s="13" t="s">
        <v>228</v>
      </c>
      <c r="K1" s="31" t="s">
        <v>271</v>
      </c>
      <c r="L1" s="31" t="s">
        <v>272</v>
      </c>
      <c r="M1" s="31" t="s">
        <v>273</v>
      </c>
      <c r="N1" s="31" t="s">
        <v>274</v>
      </c>
      <c r="O1" s="31" t="s">
        <v>275</v>
      </c>
      <c r="P1" s="31" t="s">
        <v>276</v>
      </c>
      <c r="Q1" s="31" t="s">
        <v>277</v>
      </c>
      <c r="R1" s="31" t="s">
        <v>278</v>
      </c>
      <c r="S1" s="31" t="s">
        <v>279</v>
      </c>
      <c r="T1" s="31" t="s">
        <v>280</v>
      </c>
      <c r="U1" s="20" t="s">
        <v>231</v>
      </c>
      <c r="V1" s="20" t="s">
        <v>232</v>
      </c>
      <c r="W1" s="20" t="s">
        <v>233</v>
      </c>
      <c r="X1" s="20" t="s">
        <v>234</v>
      </c>
      <c r="Y1" s="20" t="s">
        <v>235</v>
      </c>
      <c r="Z1" s="20" t="s">
        <v>236</v>
      </c>
      <c r="AA1" s="20" t="s">
        <v>237</v>
      </c>
      <c r="AB1" s="20" t="s">
        <v>238</v>
      </c>
      <c r="AC1" s="20" t="s">
        <v>239</v>
      </c>
      <c r="AD1" s="20" t="s">
        <v>240</v>
      </c>
      <c r="AE1" s="21" t="s">
        <v>241</v>
      </c>
      <c r="AF1" s="21" t="s">
        <v>242</v>
      </c>
      <c r="AG1" s="21" t="s">
        <v>243</v>
      </c>
      <c r="AH1" s="21" t="s">
        <v>244</v>
      </c>
      <c r="AI1" s="21" t="s">
        <v>245</v>
      </c>
      <c r="AJ1" s="21" t="s">
        <v>246</v>
      </c>
      <c r="AK1" s="21" t="s">
        <v>247</v>
      </c>
      <c r="AL1" s="21" t="s">
        <v>248</v>
      </c>
      <c r="AM1" s="21" t="s">
        <v>249</v>
      </c>
      <c r="AN1" s="14" t="s">
        <v>250</v>
      </c>
      <c r="AO1" s="14" t="s">
        <v>251</v>
      </c>
      <c r="AP1" s="14" t="s">
        <v>252</v>
      </c>
      <c r="AQ1" s="14" t="s">
        <v>253</v>
      </c>
      <c r="AR1" s="14" t="s">
        <v>254</v>
      </c>
      <c r="AS1" s="22" t="s">
        <v>255</v>
      </c>
      <c r="AT1" s="22" t="s">
        <v>256</v>
      </c>
      <c r="AU1" s="22" t="s">
        <v>257</v>
      </c>
      <c r="AV1" s="30" t="s">
        <v>258</v>
      </c>
      <c r="AW1" s="30" t="s">
        <v>259</v>
      </c>
      <c r="AX1" s="30" t="s">
        <v>260</v>
      </c>
      <c r="AY1" s="30" t="s">
        <v>261</v>
      </c>
      <c r="AZ1" s="30" t="s">
        <v>262</v>
      </c>
      <c r="BA1" s="30" t="s">
        <v>263</v>
      </c>
      <c r="BB1" s="13" t="s">
        <v>270</v>
      </c>
      <c r="BC1" s="14" t="s">
        <v>264</v>
      </c>
      <c r="BD1" s="14" t="s">
        <v>265</v>
      </c>
      <c r="BE1" s="14" t="s">
        <v>266</v>
      </c>
      <c r="BF1" s="14" t="s">
        <v>267</v>
      </c>
      <c r="BG1" s="14" t="s">
        <v>268</v>
      </c>
      <c r="BH1" s="14" t="s">
        <v>269</v>
      </c>
      <c r="BI1" s="32" t="s">
        <v>281</v>
      </c>
      <c r="BJ1" s="33" t="s">
        <v>282</v>
      </c>
      <c r="BK1" s="33" t="s">
        <v>283</v>
      </c>
      <c r="BL1" s="33" t="s">
        <v>284</v>
      </c>
      <c r="BM1" s="33" t="s">
        <v>285</v>
      </c>
      <c r="BN1" s="33" t="s">
        <v>286</v>
      </c>
      <c r="BO1" s="33" t="s">
        <v>287</v>
      </c>
      <c r="BP1" s="33" t="s">
        <v>288</v>
      </c>
      <c r="BQ1" s="33" t="s">
        <v>289</v>
      </c>
      <c r="BR1" s="33" t="s">
        <v>290</v>
      </c>
      <c r="BS1" s="33" t="s">
        <v>312</v>
      </c>
      <c r="BT1" s="33" t="s">
        <v>313</v>
      </c>
      <c r="BU1" s="52" t="s">
        <v>314</v>
      </c>
      <c r="BV1" s="33" t="s">
        <v>315</v>
      </c>
      <c r="BW1" s="33" t="s">
        <v>316</v>
      </c>
      <c r="BX1" s="33" t="s">
        <v>317</v>
      </c>
      <c r="BY1" s="33" t="s">
        <v>318</v>
      </c>
      <c r="BZ1" s="33" t="s">
        <v>319</v>
      </c>
      <c r="CA1" s="33" t="s">
        <v>320</v>
      </c>
      <c r="CB1" s="33" t="s">
        <v>291</v>
      </c>
      <c r="CC1" s="33" t="s">
        <v>292</v>
      </c>
      <c r="CD1" s="1" t="s">
        <v>293</v>
      </c>
      <c r="CE1" s="50" t="s">
        <v>321</v>
      </c>
      <c r="CF1" s="50" t="s">
        <v>309</v>
      </c>
      <c r="CG1" s="50" t="s">
        <v>310</v>
      </c>
      <c r="CH1" s="50" t="s">
        <v>311</v>
      </c>
      <c r="CI1" t="s">
        <v>322</v>
      </c>
      <c r="CJ1" t="s">
        <v>323</v>
      </c>
      <c r="CK1" t="s">
        <v>324</v>
      </c>
      <c r="CL1" t="s">
        <v>326</v>
      </c>
      <c r="CM1" t="s">
        <v>325</v>
      </c>
      <c r="CN1" t="s">
        <v>330</v>
      </c>
      <c r="CO1" t="s">
        <v>333</v>
      </c>
      <c r="CP1" t="s">
        <v>336</v>
      </c>
      <c r="CQ1" t="s">
        <v>334</v>
      </c>
      <c r="CR1" t="s">
        <v>293</v>
      </c>
      <c r="CS1" t="s">
        <v>335</v>
      </c>
    </row>
    <row r="2" spans="1:97">
      <c r="A2" s="2" t="s">
        <v>2</v>
      </c>
      <c r="B2" s="19">
        <v>1</v>
      </c>
      <c r="C2" s="19">
        <v>0</v>
      </c>
      <c r="D2" s="19">
        <v>1</v>
      </c>
      <c r="E2" s="19">
        <v>0</v>
      </c>
      <c r="F2" s="19">
        <v>0</v>
      </c>
      <c r="G2" s="19">
        <v>1</v>
      </c>
      <c r="H2" s="19">
        <v>1</v>
      </c>
      <c r="I2" s="19">
        <v>0</v>
      </c>
      <c r="J2">
        <v>32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 s="19">
        <v>2880</v>
      </c>
      <c r="AW2" s="19">
        <v>50</v>
      </c>
      <c r="BB2">
        <v>1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 s="1">
        <v>177</v>
      </c>
      <c r="BT2" s="1">
        <v>255</v>
      </c>
      <c r="BU2" s="53">
        <v>14</v>
      </c>
      <c r="CD2" t="s">
        <v>294</v>
      </c>
      <c r="CE2" s="14">
        <v>96</v>
      </c>
      <c r="CF2">
        <v>11.2</v>
      </c>
      <c r="CG2">
        <v>2.71</v>
      </c>
      <c r="CH2">
        <v>217</v>
      </c>
      <c r="CN2" s="15" t="s">
        <v>327</v>
      </c>
      <c r="CO2">
        <v>1</v>
      </c>
      <c r="CP2">
        <v>0</v>
      </c>
      <c r="CQ2">
        <v>0</v>
      </c>
      <c r="CS2">
        <v>0</v>
      </c>
    </row>
    <row r="3" spans="1:97" s="13" customFormat="1">
      <c r="A3" s="55" t="s">
        <v>3</v>
      </c>
      <c r="B3" s="56">
        <v>1</v>
      </c>
      <c r="C3" s="56">
        <v>1</v>
      </c>
      <c r="D3" s="56">
        <v>0</v>
      </c>
      <c r="E3" s="56">
        <v>0</v>
      </c>
      <c r="F3" s="56">
        <v>0</v>
      </c>
      <c r="G3" s="56">
        <v>1</v>
      </c>
      <c r="H3" s="56">
        <v>0</v>
      </c>
      <c r="I3" s="56">
        <v>1</v>
      </c>
      <c r="J3" s="13">
        <v>32</v>
      </c>
      <c r="K3" s="13">
        <v>0</v>
      </c>
      <c r="L3" s="13">
        <v>0</v>
      </c>
      <c r="M3" s="13">
        <v>1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1</v>
      </c>
      <c r="AP3" s="13">
        <v>0</v>
      </c>
      <c r="AQ3" s="13">
        <v>0</v>
      </c>
      <c r="AR3" s="13">
        <v>0</v>
      </c>
      <c r="AS3" s="13">
        <v>1</v>
      </c>
      <c r="AT3" s="13">
        <v>0</v>
      </c>
      <c r="AU3" s="13">
        <v>0</v>
      </c>
      <c r="AV3" s="56">
        <v>3000</v>
      </c>
      <c r="AW3" s="56">
        <v>50</v>
      </c>
      <c r="AX3" s="56"/>
      <c r="AY3" s="56"/>
      <c r="AZ3" s="56"/>
      <c r="BA3" s="56"/>
      <c r="BB3" s="13">
        <v>1</v>
      </c>
      <c r="BC3" s="13">
        <v>1</v>
      </c>
      <c r="BD3" s="13">
        <v>0</v>
      </c>
      <c r="BE3" s="13">
        <v>1</v>
      </c>
      <c r="BF3" s="13">
        <v>0</v>
      </c>
      <c r="BG3" s="13">
        <v>1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1</v>
      </c>
      <c r="BQ3" s="13">
        <v>0</v>
      </c>
      <c r="BR3" s="13">
        <v>0</v>
      </c>
      <c r="BS3" s="13">
        <v>138</v>
      </c>
      <c r="BT3" s="13">
        <v>281</v>
      </c>
      <c r="BU3" s="57">
        <v>8</v>
      </c>
      <c r="CD3" s="58" t="s">
        <v>295</v>
      </c>
      <c r="CE3" s="13">
        <v>120</v>
      </c>
      <c r="CF3" s="13">
        <v>5.9</v>
      </c>
      <c r="CG3" s="13">
        <v>3.6</v>
      </c>
      <c r="CH3" s="13">
        <v>181</v>
      </c>
      <c r="CI3" s="13">
        <v>0</v>
      </c>
      <c r="CJ3" s="13">
        <v>0</v>
      </c>
      <c r="CK3" s="13">
        <v>1</v>
      </c>
      <c r="CL3" s="13">
        <v>0</v>
      </c>
      <c r="CM3" s="13">
        <v>0</v>
      </c>
      <c r="CN3" s="79" t="s">
        <v>328</v>
      </c>
      <c r="CO3" s="13">
        <v>0</v>
      </c>
      <c r="CP3" s="13">
        <v>1</v>
      </c>
      <c r="CQ3" s="13">
        <v>0</v>
      </c>
      <c r="CR3" s="94">
        <v>44593</v>
      </c>
      <c r="CS3" s="13">
        <v>0</v>
      </c>
    </row>
    <row r="4" spans="1:97" s="13" customFormat="1">
      <c r="A4" s="59" t="s">
        <v>4</v>
      </c>
      <c r="B4" s="60">
        <v>1</v>
      </c>
      <c r="C4" s="60">
        <v>1</v>
      </c>
      <c r="D4" s="60">
        <v>0</v>
      </c>
      <c r="E4" s="60">
        <v>1</v>
      </c>
      <c r="F4" s="60">
        <v>0</v>
      </c>
      <c r="G4" s="60">
        <v>1</v>
      </c>
      <c r="H4" s="60">
        <v>0</v>
      </c>
      <c r="I4" s="60">
        <v>1</v>
      </c>
      <c r="J4" s="48">
        <v>41</v>
      </c>
      <c r="K4" s="13">
        <v>0</v>
      </c>
      <c r="L4" s="13">
        <v>0</v>
      </c>
      <c r="M4" s="13">
        <v>1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1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1</v>
      </c>
      <c r="AR4" s="13">
        <v>0</v>
      </c>
      <c r="AS4" s="13">
        <v>1</v>
      </c>
      <c r="AT4" s="13">
        <v>0</v>
      </c>
      <c r="AU4" s="13">
        <v>0</v>
      </c>
      <c r="AV4" s="56">
        <v>940</v>
      </c>
      <c r="AW4" s="56">
        <v>35</v>
      </c>
      <c r="AX4" s="56"/>
      <c r="AY4" s="56"/>
      <c r="AZ4" s="56"/>
      <c r="BA4" s="56"/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1</v>
      </c>
      <c r="BJ4" s="13">
        <v>0</v>
      </c>
      <c r="BK4" s="13">
        <v>0</v>
      </c>
      <c r="BL4" s="13">
        <v>0</v>
      </c>
      <c r="BM4" s="13">
        <v>1</v>
      </c>
      <c r="BN4" s="13">
        <v>1</v>
      </c>
      <c r="BO4" s="13">
        <v>1</v>
      </c>
      <c r="BP4" s="13">
        <v>0</v>
      </c>
      <c r="BQ4" s="13">
        <v>0</v>
      </c>
      <c r="BR4" s="13">
        <v>0</v>
      </c>
      <c r="BS4" s="13">
        <v>142</v>
      </c>
      <c r="BT4" s="13">
        <v>46</v>
      </c>
      <c r="BU4" s="57">
        <v>19</v>
      </c>
      <c r="CD4" s="61" t="s">
        <v>296</v>
      </c>
      <c r="CE4" s="14">
        <v>79</v>
      </c>
      <c r="CF4" s="13">
        <v>9.9</v>
      </c>
      <c r="CG4" s="13">
        <v>2.71</v>
      </c>
      <c r="CH4" s="13">
        <v>304</v>
      </c>
      <c r="CI4" s="13">
        <v>0</v>
      </c>
      <c r="CJ4" s="13">
        <v>1</v>
      </c>
      <c r="CK4" s="13">
        <v>0</v>
      </c>
      <c r="CL4" s="13">
        <v>0</v>
      </c>
      <c r="CM4" s="13">
        <v>0</v>
      </c>
      <c r="CN4" s="80" t="s">
        <v>329</v>
      </c>
      <c r="CO4" s="13">
        <v>0</v>
      </c>
      <c r="CP4" s="13">
        <v>1</v>
      </c>
      <c r="CQ4" s="13">
        <v>0</v>
      </c>
      <c r="CR4" s="94">
        <v>43101</v>
      </c>
      <c r="CS4" s="13">
        <v>0</v>
      </c>
    </row>
    <row r="5" spans="1:97">
      <c r="A5" s="3" t="s">
        <v>5</v>
      </c>
      <c r="B5" s="18">
        <v>1</v>
      </c>
      <c r="C5" s="18">
        <v>1</v>
      </c>
      <c r="D5" s="18">
        <v>1</v>
      </c>
      <c r="E5" s="18">
        <v>0</v>
      </c>
      <c r="F5" s="18">
        <v>0</v>
      </c>
      <c r="G5" s="18">
        <v>1</v>
      </c>
      <c r="H5" s="18">
        <v>0</v>
      </c>
      <c r="I5" s="18">
        <v>1</v>
      </c>
      <c r="J5" s="1">
        <v>34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 s="19">
        <v>3590</v>
      </c>
      <c r="AW5" s="19">
        <v>54</v>
      </c>
      <c r="BB5">
        <v>1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139</v>
      </c>
      <c r="BT5">
        <v>275</v>
      </c>
      <c r="BU5" s="54">
        <v>10</v>
      </c>
      <c r="CD5" s="34" t="s">
        <v>294</v>
      </c>
      <c r="CE5">
        <v>109</v>
      </c>
      <c r="CF5">
        <v>2.4</v>
      </c>
      <c r="CG5">
        <v>3.56</v>
      </c>
      <c r="CH5">
        <v>197</v>
      </c>
      <c r="CN5" s="81">
        <v>43556</v>
      </c>
      <c r="CO5">
        <v>1</v>
      </c>
      <c r="CP5">
        <v>0</v>
      </c>
      <c r="CQ5">
        <v>0</v>
      </c>
      <c r="CS5">
        <v>0</v>
      </c>
    </row>
    <row r="6" spans="1:97">
      <c r="A6" s="2" t="s">
        <v>6</v>
      </c>
      <c r="B6" s="18">
        <v>1</v>
      </c>
      <c r="C6" s="18">
        <v>1</v>
      </c>
      <c r="D6" s="18">
        <v>0</v>
      </c>
      <c r="E6" s="18">
        <v>0</v>
      </c>
      <c r="F6" s="18">
        <v>0</v>
      </c>
      <c r="G6" s="18">
        <v>1</v>
      </c>
      <c r="H6" s="18">
        <v>0</v>
      </c>
      <c r="I6" s="18">
        <v>1</v>
      </c>
      <c r="J6">
        <v>34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 s="19">
        <v>2610</v>
      </c>
      <c r="AW6" s="19">
        <v>45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179</v>
      </c>
      <c r="BT6">
        <v>316</v>
      </c>
      <c r="BU6" s="54">
        <v>15</v>
      </c>
      <c r="CD6" s="35" t="s">
        <v>294</v>
      </c>
      <c r="CE6">
        <v>113</v>
      </c>
      <c r="CF6">
        <v>5.5</v>
      </c>
      <c r="CG6">
        <v>4.3</v>
      </c>
      <c r="CH6">
        <v>237</v>
      </c>
      <c r="CN6" s="82">
        <v>44972</v>
      </c>
      <c r="CO6">
        <v>1</v>
      </c>
      <c r="CP6">
        <v>0</v>
      </c>
      <c r="CQ6">
        <v>0</v>
      </c>
      <c r="CS6">
        <v>0</v>
      </c>
    </row>
    <row r="7" spans="1:97" s="13" customFormat="1">
      <c r="A7" s="55" t="s">
        <v>7</v>
      </c>
      <c r="B7" s="56">
        <v>1</v>
      </c>
      <c r="C7" s="56">
        <v>1</v>
      </c>
      <c r="D7" s="56">
        <v>1</v>
      </c>
      <c r="E7" s="56">
        <v>1</v>
      </c>
      <c r="F7" s="56">
        <v>0</v>
      </c>
      <c r="G7" s="56">
        <v>1</v>
      </c>
      <c r="H7" s="56">
        <v>0</v>
      </c>
      <c r="I7" s="56">
        <v>1</v>
      </c>
      <c r="J7" s="13">
        <v>41</v>
      </c>
      <c r="K7" s="13">
        <v>0</v>
      </c>
      <c r="L7" s="13">
        <v>0</v>
      </c>
      <c r="M7" s="13">
        <v>1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1</v>
      </c>
      <c r="AR7" s="13">
        <v>0</v>
      </c>
      <c r="AS7" s="13">
        <v>1</v>
      </c>
      <c r="AT7" s="13">
        <v>0</v>
      </c>
      <c r="AU7" s="13">
        <v>0</v>
      </c>
      <c r="AV7" s="56">
        <v>1100</v>
      </c>
      <c r="AW7" s="56">
        <v>30</v>
      </c>
      <c r="AX7" s="56"/>
      <c r="AY7" s="56"/>
      <c r="AZ7" s="56"/>
      <c r="BA7" s="56"/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1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1</v>
      </c>
      <c r="BQ7" s="13">
        <v>0</v>
      </c>
      <c r="BR7" s="13">
        <v>0</v>
      </c>
      <c r="BS7" s="13">
        <v>150</v>
      </c>
      <c r="BT7" s="13">
        <v>217</v>
      </c>
      <c r="BU7" s="57">
        <v>10</v>
      </c>
      <c r="CD7" s="36" t="s">
        <v>297</v>
      </c>
      <c r="CE7" s="14">
        <v>96</v>
      </c>
      <c r="CF7" s="13">
        <v>13.8</v>
      </c>
      <c r="CG7" s="13">
        <v>3.07</v>
      </c>
      <c r="CH7" s="13">
        <v>261</v>
      </c>
      <c r="CI7" s="13">
        <v>0</v>
      </c>
      <c r="CJ7" s="13">
        <v>0</v>
      </c>
      <c r="CK7" s="13">
        <v>1</v>
      </c>
      <c r="CL7" s="13">
        <v>0</v>
      </c>
      <c r="CM7" s="13">
        <v>0</v>
      </c>
      <c r="CN7" s="83">
        <v>44840</v>
      </c>
      <c r="CO7" s="13">
        <v>0</v>
      </c>
      <c r="CP7" s="13">
        <v>0</v>
      </c>
      <c r="CQ7" s="13">
        <v>0</v>
      </c>
      <c r="CS7" s="13">
        <v>1</v>
      </c>
    </row>
    <row r="8" spans="1:97">
      <c r="A8" s="2" t="s">
        <v>8</v>
      </c>
      <c r="B8" s="19">
        <v>1</v>
      </c>
      <c r="C8" s="19">
        <v>1</v>
      </c>
      <c r="D8" s="19">
        <v>1</v>
      </c>
      <c r="E8" s="19">
        <v>0</v>
      </c>
      <c r="F8" s="19">
        <v>0</v>
      </c>
      <c r="G8" s="19">
        <v>1</v>
      </c>
      <c r="H8" s="19">
        <v>0</v>
      </c>
      <c r="I8" s="19">
        <v>1</v>
      </c>
      <c r="J8">
        <v>36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 s="19">
        <v>1960</v>
      </c>
      <c r="AW8" s="19">
        <v>44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193</v>
      </c>
      <c r="BT8">
        <v>216</v>
      </c>
      <c r="BU8" s="54">
        <v>8</v>
      </c>
      <c r="CD8" s="35" t="s">
        <v>294</v>
      </c>
      <c r="CE8" s="14">
        <v>89</v>
      </c>
      <c r="CF8">
        <v>5.8</v>
      </c>
      <c r="CG8">
        <v>2.8</v>
      </c>
      <c r="CH8" s="14">
        <v>73</v>
      </c>
      <c r="CN8" s="82">
        <v>44463</v>
      </c>
      <c r="CO8" s="13">
        <v>1</v>
      </c>
      <c r="CP8" s="13">
        <v>0</v>
      </c>
      <c r="CQ8" s="13">
        <v>0</v>
      </c>
      <c r="CS8" s="13">
        <v>0</v>
      </c>
    </row>
    <row r="9" spans="1:97" s="13" customFormat="1">
      <c r="A9" s="55" t="s">
        <v>9</v>
      </c>
      <c r="B9" s="56">
        <v>1</v>
      </c>
      <c r="C9" s="56">
        <v>0</v>
      </c>
      <c r="D9" s="56">
        <v>0</v>
      </c>
      <c r="E9" s="56">
        <v>0</v>
      </c>
      <c r="F9" s="56">
        <v>1</v>
      </c>
      <c r="G9" s="56">
        <v>0</v>
      </c>
      <c r="H9" s="56">
        <v>1</v>
      </c>
      <c r="I9" s="56">
        <v>0</v>
      </c>
      <c r="J9" s="13">
        <v>31</v>
      </c>
      <c r="K9" s="13">
        <v>0</v>
      </c>
      <c r="L9" s="13">
        <v>0</v>
      </c>
      <c r="M9" s="13">
        <v>1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1</v>
      </c>
      <c r="AD9" s="13">
        <v>0</v>
      </c>
      <c r="AE9" s="13">
        <v>0</v>
      </c>
      <c r="AF9" s="13">
        <v>1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1</v>
      </c>
      <c r="AS9" s="13">
        <v>1</v>
      </c>
      <c r="AT9" s="13">
        <v>0</v>
      </c>
      <c r="AU9" s="13">
        <v>0</v>
      </c>
      <c r="AV9" s="56">
        <v>790</v>
      </c>
      <c r="AW9" s="56">
        <v>33</v>
      </c>
      <c r="AX9" s="56"/>
      <c r="AY9" s="56"/>
      <c r="AZ9" s="56"/>
      <c r="BA9" s="56"/>
      <c r="BB9" s="13">
        <v>1</v>
      </c>
      <c r="BC9" s="13">
        <v>1</v>
      </c>
      <c r="BD9" s="13">
        <v>1</v>
      </c>
      <c r="BE9" s="13">
        <v>0</v>
      </c>
      <c r="BF9" s="13">
        <v>0</v>
      </c>
      <c r="BG9" s="13">
        <v>1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139</v>
      </c>
      <c r="BT9" s="13">
        <v>178</v>
      </c>
      <c r="BU9" s="57">
        <v>42</v>
      </c>
      <c r="CD9" s="37" t="s">
        <v>294</v>
      </c>
      <c r="CE9" s="14">
        <v>94</v>
      </c>
      <c r="CF9" s="13">
        <v>6.1</v>
      </c>
      <c r="CG9" s="13">
        <v>2.9</v>
      </c>
      <c r="CH9" s="13">
        <v>252</v>
      </c>
      <c r="CI9" s="13">
        <v>0</v>
      </c>
      <c r="CJ9" s="13">
        <v>1</v>
      </c>
      <c r="CK9" s="13">
        <v>0</v>
      </c>
      <c r="CL9" s="13">
        <v>0</v>
      </c>
      <c r="CM9" s="13">
        <v>0</v>
      </c>
      <c r="CN9" s="82">
        <v>45209</v>
      </c>
      <c r="CO9" s="13">
        <v>1</v>
      </c>
      <c r="CP9" s="13">
        <v>0</v>
      </c>
      <c r="CQ9" s="13">
        <v>0</v>
      </c>
      <c r="CS9" s="13">
        <v>0</v>
      </c>
    </row>
    <row r="10" spans="1:97">
      <c r="A10" s="4" t="s">
        <v>10</v>
      </c>
      <c r="B10" s="19">
        <v>1</v>
      </c>
      <c r="C10" s="19">
        <v>1</v>
      </c>
      <c r="D10" s="19">
        <v>0</v>
      </c>
      <c r="E10" s="19">
        <v>1</v>
      </c>
      <c r="F10" s="19">
        <v>0</v>
      </c>
      <c r="G10" s="19">
        <v>1</v>
      </c>
      <c r="H10" s="19">
        <v>0</v>
      </c>
      <c r="I10" s="19">
        <v>1</v>
      </c>
      <c r="J10">
        <v>43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CD10" s="35"/>
      <c r="CN10" s="82">
        <v>45224</v>
      </c>
      <c r="CO10" s="13">
        <v>0</v>
      </c>
      <c r="CP10">
        <v>0</v>
      </c>
      <c r="CQ10" s="13">
        <v>0</v>
      </c>
      <c r="CS10">
        <v>1</v>
      </c>
    </row>
    <row r="11" spans="1:97">
      <c r="A11" s="4" t="s">
        <v>11</v>
      </c>
      <c r="B11" s="19">
        <v>1</v>
      </c>
      <c r="C11" s="19">
        <v>0</v>
      </c>
      <c r="D11" s="19">
        <v>0</v>
      </c>
      <c r="E11" s="19">
        <v>0</v>
      </c>
      <c r="F11" s="19">
        <v>1</v>
      </c>
      <c r="G11" s="19">
        <v>0</v>
      </c>
      <c r="H11" s="19">
        <v>1</v>
      </c>
      <c r="I11" s="19">
        <v>0</v>
      </c>
      <c r="J11">
        <v>30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 s="19">
        <v>2280</v>
      </c>
      <c r="AW11" s="19">
        <v>45</v>
      </c>
      <c r="BB11">
        <v>1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168</v>
      </c>
      <c r="BT11">
        <v>260</v>
      </c>
      <c r="BU11" s="54">
        <v>9</v>
      </c>
      <c r="CD11" s="38" t="s">
        <v>294</v>
      </c>
      <c r="CE11">
        <v>114</v>
      </c>
      <c r="CF11">
        <v>8.8000000000000007</v>
      </c>
      <c r="CG11">
        <v>3.3</v>
      </c>
      <c r="CH11">
        <v>208</v>
      </c>
      <c r="CN11" s="82">
        <v>45546</v>
      </c>
      <c r="CO11" s="13">
        <v>1</v>
      </c>
      <c r="CP11" s="13">
        <v>0</v>
      </c>
      <c r="CQ11" s="13">
        <v>0</v>
      </c>
      <c r="CS11" s="13">
        <v>0</v>
      </c>
    </row>
    <row r="12" spans="1:97">
      <c r="A12" s="4" t="s">
        <v>12</v>
      </c>
      <c r="B12" s="19">
        <v>1</v>
      </c>
      <c r="C12" s="19">
        <v>0</v>
      </c>
      <c r="D12" s="19">
        <v>1</v>
      </c>
      <c r="E12" s="19">
        <v>0</v>
      </c>
      <c r="F12" s="19">
        <v>0</v>
      </c>
      <c r="G12" s="19">
        <v>1</v>
      </c>
      <c r="H12" s="19">
        <v>1</v>
      </c>
      <c r="I12" s="19">
        <v>0</v>
      </c>
      <c r="J12">
        <v>36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 s="19">
        <v>2800</v>
      </c>
      <c r="AW12" s="19">
        <v>49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185</v>
      </c>
      <c r="BT12">
        <v>284</v>
      </c>
      <c r="BU12" s="54">
        <v>13</v>
      </c>
      <c r="CD12" s="38" t="s">
        <v>294</v>
      </c>
      <c r="CE12" s="14">
        <v>93</v>
      </c>
      <c r="CF12">
        <v>15.7</v>
      </c>
      <c r="CG12">
        <v>3.3</v>
      </c>
      <c r="CH12">
        <v>383</v>
      </c>
      <c r="CN12" s="82" t="s">
        <v>331</v>
      </c>
      <c r="CO12" s="13">
        <v>0</v>
      </c>
      <c r="CP12">
        <v>0</v>
      </c>
      <c r="CQ12" s="13">
        <v>0</v>
      </c>
      <c r="CS12">
        <v>1</v>
      </c>
    </row>
    <row r="13" spans="1:97" s="13" customFormat="1">
      <c r="A13" s="59" t="s">
        <v>13</v>
      </c>
      <c r="B13" s="60">
        <v>1</v>
      </c>
      <c r="C13" s="60">
        <v>1</v>
      </c>
      <c r="D13" s="60">
        <v>0</v>
      </c>
      <c r="E13" s="60">
        <v>0</v>
      </c>
      <c r="F13" s="60">
        <v>0</v>
      </c>
      <c r="G13" s="60">
        <v>1</v>
      </c>
      <c r="H13" s="60">
        <v>0</v>
      </c>
      <c r="I13" s="60">
        <v>1</v>
      </c>
      <c r="J13" s="48">
        <v>34</v>
      </c>
      <c r="K13" s="13">
        <v>0</v>
      </c>
      <c r="L13" s="13">
        <v>1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1</v>
      </c>
      <c r="AP13" s="13">
        <v>0</v>
      </c>
      <c r="AQ13" s="13">
        <v>0</v>
      </c>
      <c r="AR13" s="13">
        <v>0</v>
      </c>
      <c r="AS13" s="13">
        <v>1</v>
      </c>
      <c r="AT13" s="13">
        <v>0</v>
      </c>
      <c r="AU13" s="13">
        <v>0</v>
      </c>
      <c r="AV13" s="56">
        <v>2280</v>
      </c>
      <c r="AW13" s="56">
        <v>44</v>
      </c>
      <c r="AX13" s="56"/>
      <c r="AY13" s="56"/>
      <c r="AZ13" s="56"/>
      <c r="BA13" s="56"/>
      <c r="BB13" s="13">
        <v>1</v>
      </c>
      <c r="BC13" s="13">
        <v>1</v>
      </c>
      <c r="BD13" s="13">
        <v>1</v>
      </c>
      <c r="BE13" s="13">
        <v>0</v>
      </c>
      <c r="BF13" s="13">
        <v>0</v>
      </c>
      <c r="BG13" s="13">
        <v>1</v>
      </c>
      <c r="BH13" s="13">
        <v>0</v>
      </c>
      <c r="BI13" s="13">
        <v>1</v>
      </c>
      <c r="BJ13" s="13">
        <v>0</v>
      </c>
      <c r="BK13" s="13">
        <v>1</v>
      </c>
      <c r="BL13" s="13">
        <v>0</v>
      </c>
      <c r="BM13" s="13">
        <v>1</v>
      </c>
      <c r="BN13" s="13">
        <v>1</v>
      </c>
      <c r="BO13" s="13">
        <v>1</v>
      </c>
      <c r="BP13" s="13">
        <v>0</v>
      </c>
      <c r="BQ13" s="13">
        <v>0</v>
      </c>
      <c r="BR13" s="13">
        <v>0</v>
      </c>
      <c r="BS13" s="13">
        <v>224</v>
      </c>
      <c r="BT13" s="13">
        <v>200</v>
      </c>
      <c r="BU13" s="57">
        <v>12</v>
      </c>
      <c r="CD13" s="39" t="s">
        <v>294</v>
      </c>
      <c r="CE13" s="14">
        <v>96</v>
      </c>
      <c r="CF13" s="13">
        <v>12.5</v>
      </c>
      <c r="CG13" s="13">
        <v>3.3</v>
      </c>
      <c r="CH13" s="13">
        <v>194</v>
      </c>
      <c r="CI13" s="13">
        <v>0</v>
      </c>
      <c r="CJ13" s="13">
        <v>1</v>
      </c>
      <c r="CK13" s="13">
        <v>0</v>
      </c>
      <c r="CL13" s="13">
        <v>0</v>
      </c>
      <c r="CM13" s="13">
        <v>0</v>
      </c>
      <c r="CN13" s="84">
        <v>43752</v>
      </c>
      <c r="CO13" s="13">
        <v>1</v>
      </c>
      <c r="CP13" s="13">
        <v>0</v>
      </c>
      <c r="CQ13" s="13">
        <v>2021</v>
      </c>
      <c r="CS13" s="13">
        <v>0</v>
      </c>
    </row>
    <row r="14" spans="1:97" s="13" customFormat="1">
      <c r="A14" s="55" t="s">
        <v>14</v>
      </c>
      <c r="B14" s="56">
        <v>1</v>
      </c>
      <c r="C14" s="56">
        <v>1</v>
      </c>
      <c r="D14" s="56">
        <v>1</v>
      </c>
      <c r="E14" s="56">
        <v>0</v>
      </c>
      <c r="F14" s="56">
        <v>0</v>
      </c>
      <c r="G14" s="56">
        <v>1</v>
      </c>
      <c r="H14" s="56">
        <v>0</v>
      </c>
      <c r="I14" s="56">
        <v>1</v>
      </c>
      <c r="J14" s="13">
        <v>34</v>
      </c>
      <c r="K14" s="13">
        <v>0</v>
      </c>
      <c r="L14" s="13">
        <v>1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1</v>
      </c>
      <c r="W14" s="13">
        <v>0</v>
      </c>
      <c r="X14" s="13">
        <v>0</v>
      </c>
      <c r="Y14" s="13">
        <v>1</v>
      </c>
      <c r="Z14" s="13">
        <v>0</v>
      </c>
      <c r="AA14" s="13">
        <v>0</v>
      </c>
      <c r="AB14" s="13">
        <v>0</v>
      </c>
      <c r="AC14" s="13">
        <v>0</v>
      </c>
      <c r="AD14" s="13">
        <v>1</v>
      </c>
      <c r="AE14" s="13">
        <v>1</v>
      </c>
      <c r="AF14" s="13">
        <v>0</v>
      </c>
      <c r="AG14" s="13">
        <v>0</v>
      </c>
      <c r="AH14" s="13">
        <v>1</v>
      </c>
      <c r="AI14" s="13">
        <v>1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1</v>
      </c>
      <c r="AP14" s="13">
        <v>0</v>
      </c>
      <c r="AQ14" s="13">
        <v>0</v>
      </c>
      <c r="AR14" s="13">
        <v>0</v>
      </c>
      <c r="AS14" s="13">
        <v>1</v>
      </c>
      <c r="AT14" s="13">
        <v>0</v>
      </c>
      <c r="AU14" s="13">
        <v>0</v>
      </c>
      <c r="AV14" s="56">
        <v>2910</v>
      </c>
      <c r="AW14" s="56">
        <v>50</v>
      </c>
      <c r="AX14" s="56"/>
      <c r="AY14" s="56"/>
      <c r="AZ14" s="56"/>
      <c r="BA14" s="56"/>
      <c r="BB14" s="13">
        <v>1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1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1</v>
      </c>
      <c r="BS14" s="13">
        <v>184</v>
      </c>
      <c r="BT14" s="13">
        <v>266</v>
      </c>
      <c r="BU14" s="57">
        <v>36</v>
      </c>
      <c r="CD14" s="37" t="s">
        <v>294</v>
      </c>
      <c r="CE14" s="13">
        <v>106</v>
      </c>
      <c r="CF14" s="13">
        <v>12.6</v>
      </c>
      <c r="CG14" s="13">
        <v>3.26</v>
      </c>
      <c r="CH14" s="13">
        <v>287</v>
      </c>
      <c r="CI14" s="13">
        <v>1</v>
      </c>
      <c r="CJ14" s="13">
        <v>0</v>
      </c>
      <c r="CK14" s="13">
        <v>0</v>
      </c>
      <c r="CL14" s="13">
        <v>0</v>
      </c>
      <c r="CM14" s="13">
        <v>0</v>
      </c>
      <c r="CN14" s="85" t="s">
        <v>332</v>
      </c>
      <c r="CO14" s="13">
        <v>1</v>
      </c>
      <c r="CP14" s="13">
        <v>0</v>
      </c>
      <c r="CQ14" s="13">
        <v>0</v>
      </c>
      <c r="CS14" s="13">
        <v>0</v>
      </c>
    </row>
    <row r="15" spans="1:97">
      <c r="A15" s="2" t="s">
        <v>15</v>
      </c>
      <c r="B15" s="19">
        <v>1</v>
      </c>
      <c r="C15" s="19">
        <v>1</v>
      </c>
      <c r="D15" s="19">
        <v>0</v>
      </c>
      <c r="E15" s="19">
        <v>0</v>
      </c>
      <c r="F15" s="19">
        <v>0</v>
      </c>
      <c r="G15" s="19">
        <v>1</v>
      </c>
      <c r="H15" s="19">
        <v>0</v>
      </c>
      <c r="I15" s="19">
        <v>1</v>
      </c>
      <c r="J15">
        <v>36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 s="19">
        <v>3270</v>
      </c>
      <c r="AW15" s="19">
        <v>52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166</v>
      </c>
      <c r="BT15">
        <v>208</v>
      </c>
      <c r="BU15" s="54">
        <v>17</v>
      </c>
      <c r="CD15" s="35" t="s">
        <v>294</v>
      </c>
      <c r="CE15">
        <v>107</v>
      </c>
      <c r="CF15">
        <v>6.9</v>
      </c>
      <c r="CG15">
        <v>3.2</v>
      </c>
      <c r="CH15">
        <v>187</v>
      </c>
      <c r="CN15" s="82">
        <v>44511</v>
      </c>
      <c r="CO15" s="13">
        <v>1</v>
      </c>
      <c r="CP15" s="13">
        <v>0</v>
      </c>
      <c r="CQ15" s="13">
        <v>0</v>
      </c>
      <c r="CS15" s="13">
        <v>0</v>
      </c>
    </row>
    <row r="16" spans="1:97">
      <c r="A16" s="2" t="s">
        <v>16</v>
      </c>
      <c r="B16" s="19">
        <v>1</v>
      </c>
      <c r="C16" s="19">
        <v>1</v>
      </c>
      <c r="D16" s="19">
        <v>0</v>
      </c>
      <c r="E16" s="19">
        <v>0</v>
      </c>
      <c r="F16" s="19">
        <v>0</v>
      </c>
      <c r="G16" s="19">
        <v>1</v>
      </c>
      <c r="H16" s="19">
        <v>0</v>
      </c>
      <c r="I16" s="19">
        <v>1</v>
      </c>
      <c r="J16">
        <v>34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 s="19">
        <v>3130</v>
      </c>
      <c r="AW16" s="19">
        <v>50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220</v>
      </c>
      <c r="BT16">
        <v>230</v>
      </c>
      <c r="BU16" s="54">
        <v>22</v>
      </c>
      <c r="CD16" s="35" t="s">
        <v>298</v>
      </c>
      <c r="CE16">
        <v>124</v>
      </c>
      <c r="CF16">
        <v>11.7</v>
      </c>
      <c r="CG16">
        <v>4.2</v>
      </c>
      <c r="CH16">
        <v>298</v>
      </c>
      <c r="CN16" s="82">
        <v>44103</v>
      </c>
      <c r="CO16" s="13">
        <v>1</v>
      </c>
      <c r="CP16" s="13">
        <v>0</v>
      </c>
      <c r="CQ16">
        <v>2023</v>
      </c>
      <c r="CS16" s="13">
        <v>0</v>
      </c>
    </row>
    <row r="17" spans="1:97">
      <c r="A17" s="2" t="s">
        <v>17</v>
      </c>
      <c r="B17" s="19">
        <v>1</v>
      </c>
      <c r="C17" s="19">
        <v>0</v>
      </c>
      <c r="D17" s="19">
        <v>0</v>
      </c>
      <c r="E17" s="19">
        <v>0</v>
      </c>
      <c r="F17" s="19">
        <v>1</v>
      </c>
      <c r="G17" s="19">
        <v>0</v>
      </c>
      <c r="H17" s="19">
        <v>1</v>
      </c>
      <c r="I17" s="19">
        <v>0</v>
      </c>
      <c r="J17">
        <v>29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 s="19">
        <v>3070</v>
      </c>
      <c r="AW17" s="19">
        <v>51</v>
      </c>
      <c r="BB17">
        <v>1</v>
      </c>
      <c r="BC17">
        <v>1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184</v>
      </c>
      <c r="BT17">
        <v>191</v>
      </c>
      <c r="BU17" s="54">
        <v>16</v>
      </c>
      <c r="CD17" s="35" t="s">
        <v>294</v>
      </c>
      <c r="CE17">
        <v>105</v>
      </c>
      <c r="CF17">
        <v>10.4</v>
      </c>
      <c r="CG17">
        <v>3.3</v>
      </c>
      <c r="CH17">
        <v>146</v>
      </c>
      <c r="CN17" s="82">
        <v>44091</v>
      </c>
      <c r="CO17" s="13">
        <v>1</v>
      </c>
      <c r="CP17" s="13">
        <v>0</v>
      </c>
      <c r="CQ17" s="13">
        <v>0</v>
      </c>
      <c r="CS17" s="13">
        <v>0</v>
      </c>
    </row>
    <row r="18" spans="1:97">
      <c r="A18" s="2" t="s">
        <v>18</v>
      </c>
      <c r="B18" s="19">
        <v>1</v>
      </c>
      <c r="C18" s="19">
        <v>1</v>
      </c>
      <c r="D18" s="19">
        <v>0</v>
      </c>
      <c r="E18" s="19">
        <v>1</v>
      </c>
      <c r="F18" s="19">
        <v>0</v>
      </c>
      <c r="G18" s="19">
        <v>1</v>
      </c>
      <c r="H18" s="19">
        <v>0</v>
      </c>
      <c r="I18" s="19">
        <v>1</v>
      </c>
      <c r="J18">
        <v>37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 s="19">
        <v>3330</v>
      </c>
      <c r="AW18" s="19">
        <v>52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169</v>
      </c>
      <c r="BT18">
        <v>287</v>
      </c>
      <c r="BU18" s="54">
        <v>31</v>
      </c>
      <c r="CD18" s="40" t="s">
        <v>299</v>
      </c>
      <c r="CE18">
        <v>102</v>
      </c>
      <c r="CF18">
        <v>18</v>
      </c>
      <c r="CG18">
        <v>3.7</v>
      </c>
      <c r="CH18">
        <v>451</v>
      </c>
      <c r="CN18" s="82">
        <v>43693</v>
      </c>
      <c r="CO18" s="13">
        <v>0</v>
      </c>
      <c r="CP18">
        <v>0</v>
      </c>
      <c r="CQ18" s="13">
        <v>0</v>
      </c>
      <c r="CS18">
        <v>1</v>
      </c>
    </row>
    <row r="19" spans="1:97">
      <c r="A19" s="2" t="s">
        <v>19</v>
      </c>
      <c r="B19" s="19">
        <v>1</v>
      </c>
      <c r="C19" s="19">
        <v>0</v>
      </c>
      <c r="D19" s="19">
        <v>0</v>
      </c>
      <c r="E19" s="19">
        <v>0</v>
      </c>
      <c r="F19" s="19">
        <v>1</v>
      </c>
      <c r="G19" s="19">
        <v>0</v>
      </c>
      <c r="H19" s="19">
        <v>1</v>
      </c>
      <c r="I19" s="19">
        <v>0</v>
      </c>
      <c r="J19">
        <v>30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CD19" s="41" t="s">
        <v>300</v>
      </c>
      <c r="CE19">
        <v>127</v>
      </c>
      <c r="CF19">
        <v>16.100000000000001</v>
      </c>
      <c r="CG19">
        <v>3.9</v>
      </c>
      <c r="CH19">
        <v>254</v>
      </c>
      <c r="CN19" s="82">
        <v>44478</v>
      </c>
      <c r="CO19">
        <v>1</v>
      </c>
      <c r="CP19">
        <v>0</v>
      </c>
      <c r="CQ19" s="13">
        <v>0</v>
      </c>
      <c r="CS19" s="13">
        <v>0</v>
      </c>
    </row>
    <row r="20" spans="1:97">
      <c r="A20" s="2" t="s">
        <v>20</v>
      </c>
      <c r="B20" s="19">
        <v>1</v>
      </c>
      <c r="C20" s="19">
        <v>1</v>
      </c>
      <c r="D20" s="19">
        <v>0</v>
      </c>
      <c r="E20" s="19">
        <v>0</v>
      </c>
      <c r="F20" s="19">
        <v>0</v>
      </c>
      <c r="G20" s="19">
        <v>1</v>
      </c>
      <c r="H20" s="19">
        <v>0</v>
      </c>
      <c r="I20" s="19">
        <v>1</v>
      </c>
      <c r="J20">
        <v>32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 s="19">
        <v>3610</v>
      </c>
      <c r="AW20" s="19">
        <v>52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187</v>
      </c>
      <c r="BT20">
        <v>281</v>
      </c>
      <c r="BU20" s="54">
        <v>23</v>
      </c>
      <c r="CD20" s="35" t="s">
        <v>294</v>
      </c>
      <c r="CE20">
        <v>117</v>
      </c>
      <c r="CF20">
        <v>19.899999999999999</v>
      </c>
      <c r="CG20">
        <v>4.2</v>
      </c>
      <c r="CH20">
        <v>191</v>
      </c>
      <c r="CN20" s="82">
        <v>45253</v>
      </c>
      <c r="CO20">
        <v>1</v>
      </c>
      <c r="CP20">
        <v>0</v>
      </c>
      <c r="CQ20" s="13">
        <v>0</v>
      </c>
      <c r="CS20" s="13">
        <v>0</v>
      </c>
    </row>
    <row r="21" spans="1:97" s="13" customFormat="1">
      <c r="A21" s="55" t="s">
        <v>21</v>
      </c>
      <c r="B21" s="56">
        <v>1</v>
      </c>
      <c r="C21" s="56">
        <v>1</v>
      </c>
      <c r="D21" s="56">
        <v>0</v>
      </c>
      <c r="E21" s="56">
        <v>0</v>
      </c>
      <c r="F21" s="56">
        <v>0</v>
      </c>
      <c r="G21" s="56">
        <v>1</v>
      </c>
      <c r="H21" s="56">
        <v>0</v>
      </c>
      <c r="I21" s="56">
        <v>1</v>
      </c>
      <c r="J21" s="13">
        <v>33</v>
      </c>
      <c r="K21" s="13">
        <v>0</v>
      </c>
      <c r="L21" s="13">
        <v>1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1</v>
      </c>
      <c r="W21" s="13">
        <v>0</v>
      </c>
      <c r="X21" s="13">
        <v>0</v>
      </c>
      <c r="Y21" s="13">
        <v>1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1</v>
      </c>
      <c r="AP21" s="13">
        <v>0</v>
      </c>
      <c r="AQ21" s="13">
        <v>0</v>
      </c>
      <c r="AR21" s="13">
        <v>0</v>
      </c>
      <c r="AS21" s="13">
        <v>1</v>
      </c>
      <c r="AT21" s="13">
        <v>0</v>
      </c>
      <c r="AU21" s="13">
        <v>0</v>
      </c>
      <c r="AV21" s="56">
        <v>2660</v>
      </c>
      <c r="AW21" s="56">
        <v>46</v>
      </c>
      <c r="AX21" s="56"/>
      <c r="AY21" s="56"/>
      <c r="AZ21" s="56"/>
      <c r="BA21" s="56"/>
      <c r="BB21" s="13">
        <v>1</v>
      </c>
      <c r="BC21" s="13">
        <v>1</v>
      </c>
      <c r="BD21" s="13">
        <v>0</v>
      </c>
      <c r="BE21" s="13">
        <v>1</v>
      </c>
      <c r="BF21" s="13">
        <v>0</v>
      </c>
      <c r="BG21" s="13">
        <v>1</v>
      </c>
      <c r="BH21" s="13">
        <v>0</v>
      </c>
      <c r="BI21" s="13">
        <v>1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138</v>
      </c>
      <c r="BT21" s="13">
        <v>303</v>
      </c>
      <c r="BU21" s="57">
        <v>12</v>
      </c>
      <c r="CD21" s="42" t="s">
        <v>294</v>
      </c>
      <c r="CE21" s="13">
        <v>100</v>
      </c>
      <c r="CF21" s="13">
        <v>13</v>
      </c>
      <c r="CG21" s="13">
        <v>2.8</v>
      </c>
      <c r="CH21" s="14">
        <v>101</v>
      </c>
      <c r="CI21" s="13">
        <v>0</v>
      </c>
      <c r="CJ21" s="13">
        <v>0</v>
      </c>
      <c r="CK21" s="13">
        <v>1</v>
      </c>
      <c r="CL21" s="13">
        <v>0</v>
      </c>
      <c r="CM21" s="13">
        <v>0</v>
      </c>
      <c r="CN21" s="82">
        <v>44888</v>
      </c>
      <c r="CO21" s="13">
        <v>1</v>
      </c>
      <c r="CP21" s="13">
        <v>0</v>
      </c>
      <c r="CQ21" s="13">
        <v>0</v>
      </c>
      <c r="CS21" s="13">
        <v>0</v>
      </c>
    </row>
    <row r="22" spans="1:97">
      <c r="A22" s="4" t="s">
        <v>22</v>
      </c>
      <c r="B22" s="19">
        <v>1</v>
      </c>
      <c r="C22" s="19">
        <v>0</v>
      </c>
      <c r="D22" s="19">
        <v>0</v>
      </c>
      <c r="E22" s="19">
        <v>0</v>
      </c>
      <c r="F22" s="19">
        <v>1</v>
      </c>
      <c r="G22" s="19">
        <v>0</v>
      </c>
      <c r="H22" s="19">
        <v>1</v>
      </c>
      <c r="I22" s="19">
        <v>0</v>
      </c>
      <c r="J22">
        <v>33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 s="19">
        <v>3030</v>
      </c>
      <c r="AW22" s="19">
        <v>51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212</v>
      </c>
      <c r="BT22">
        <v>228</v>
      </c>
      <c r="BU22" s="54">
        <v>18</v>
      </c>
      <c r="CD22" s="35" t="s">
        <v>294</v>
      </c>
      <c r="CE22">
        <v>111</v>
      </c>
      <c r="CF22">
        <v>18.399999999999999</v>
      </c>
      <c r="CG22">
        <v>3.3</v>
      </c>
      <c r="CH22">
        <v>234</v>
      </c>
      <c r="CN22" s="82">
        <v>45085</v>
      </c>
      <c r="CO22" s="13">
        <v>0</v>
      </c>
      <c r="CP22">
        <v>0</v>
      </c>
      <c r="CQ22" s="13">
        <v>0</v>
      </c>
      <c r="CS22">
        <v>1</v>
      </c>
    </row>
    <row r="23" spans="1:97">
      <c r="A23" s="4" t="s">
        <v>23</v>
      </c>
      <c r="B23" s="19">
        <v>1</v>
      </c>
      <c r="C23" s="19">
        <v>0</v>
      </c>
      <c r="D23" s="19">
        <v>0</v>
      </c>
      <c r="E23" s="19">
        <v>0</v>
      </c>
      <c r="F23" s="19">
        <v>1</v>
      </c>
      <c r="G23" s="19">
        <v>0</v>
      </c>
      <c r="H23" s="19">
        <v>1</v>
      </c>
      <c r="I23" s="19">
        <v>0</v>
      </c>
      <c r="J23">
        <v>37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 s="19">
        <v>2810</v>
      </c>
      <c r="AW23" s="19">
        <v>48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159</v>
      </c>
      <c r="BT23">
        <v>233</v>
      </c>
      <c r="BU23" s="54">
        <v>19</v>
      </c>
      <c r="CD23" s="35"/>
      <c r="CE23">
        <v>100</v>
      </c>
      <c r="CF23">
        <v>3.8</v>
      </c>
      <c r="CG23">
        <v>3.1</v>
      </c>
      <c r="CH23">
        <v>193</v>
      </c>
      <c r="CN23" s="82">
        <v>45646</v>
      </c>
      <c r="CO23">
        <v>1</v>
      </c>
      <c r="CP23">
        <v>0</v>
      </c>
      <c r="CQ23" s="13">
        <v>0</v>
      </c>
      <c r="CS23" s="13">
        <v>0</v>
      </c>
    </row>
    <row r="24" spans="1:97">
      <c r="A24" s="4" t="s">
        <v>24</v>
      </c>
      <c r="B24" s="19">
        <v>1</v>
      </c>
      <c r="C24" s="19">
        <v>0</v>
      </c>
      <c r="D24" s="19">
        <v>0</v>
      </c>
      <c r="E24" s="19">
        <v>0</v>
      </c>
      <c r="F24" s="19">
        <v>1</v>
      </c>
      <c r="G24" s="19">
        <v>0</v>
      </c>
      <c r="H24" s="19">
        <v>1</v>
      </c>
      <c r="I24" s="19">
        <v>0</v>
      </c>
      <c r="J24">
        <v>24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 s="19">
        <v>2580</v>
      </c>
      <c r="AW24" s="19">
        <v>49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210</v>
      </c>
      <c r="BT24">
        <v>242</v>
      </c>
      <c r="BU24" s="54">
        <v>20</v>
      </c>
      <c r="CD24" s="35" t="s">
        <v>294</v>
      </c>
      <c r="CE24">
        <v>113</v>
      </c>
      <c r="CF24">
        <v>8.8000000000000007</v>
      </c>
      <c r="CG24">
        <v>3.7</v>
      </c>
      <c r="CH24">
        <v>141</v>
      </c>
      <c r="CN24" s="82">
        <v>45456</v>
      </c>
      <c r="CO24">
        <v>1</v>
      </c>
      <c r="CP24">
        <v>0</v>
      </c>
      <c r="CQ24" s="13">
        <v>0</v>
      </c>
      <c r="CS24" s="13">
        <v>0</v>
      </c>
    </row>
    <row r="25" spans="1:97">
      <c r="A25" s="4" t="s">
        <v>25</v>
      </c>
      <c r="B25" s="19">
        <v>1</v>
      </c>
      <c r="C25" s="19">
        <v>0</v>
      </c>
      <c r="D25" s="19">
        <v>0</v>
      </c>
      <c r="E25" s="19">
        <v>0</v>
      </c>
      <c r="F25" s="19">
        <v>1</v>
      </c>
      <c r="G25" s="19">
        <v>0</v>
      </c>
      <c r="H25" s="19">
        <v>1</v>
      </c>
      <c r="I25" s="19">
        <v>0</v>
      </c>
      <c r="J25">
        <v>31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 s="19">
        <v>2680</v>
      </c>
      <c r="AW25" s="19">
        <v>52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185</v>
      </c>
      <c r="BT25">
        <v>405</v>
      </c>
      <c r="BU25" s="54">
        <v>33</v>
      </c>
      <c r="CD25" s="35" t="s">
        <v>294</v>
      </c>
      <c r="CE25">
        <v>109</v>
      </c>
      <c r="CF25">
        <v>16.100000000000001</v>
      </c>
      <c r="CG25">
        <v>3.59</v>
      </c>
      <c r="CH25">
        <v>282</v>
      </c>
      <c r="CN25" s="82">
        <v>44350</v>
      </c>
      <c r="CO25">
        <v>1</v>
      </c>
      <c r="CP25">
        <v>0</v>
      </c>
      <c r="CQ25" s="13">
        <v>0</v>
      </c>
      <c r="CS25" s="13">
        <v>0</v>
      </c>
    </row>
    <row r="26" spans="1:97" s="13" customFormat="1">
      <c r="A26" s="62" t="s">
        <v>26</v>
      </c>
      <c r="B26" s="56">
        <v>1</v>
      </c>
      <c r="C26" s="56">
        <v>1</v>
      </c>
      <c r="D26" s="56">
        <v>0</v>
      </c>
      <c r="E26" s="56">
        <v>0</v>
      </c>
      <c r="F26" s="56">
        <v>0</v>
      </c>
      <c r="G26" s="56">
        <v>1</v>
      </c>
      <c r="H26" s="56">
        <v>0</v>
      </c>
      <c r="I26" s="56">
        <v>1</v>
      </c>
      <c r="J26" s="13">
        <v>40</v>
      </c>
      <c r="K26" s="13">
        <v>0</v>
      </c>
      <c r="L26" s="13">
        <v>1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1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1</v>
      </c>
      <c r="AP26" s="13">
        <v>0</v>
      </c>
      <c r="AQ26" s="13">
        <v>0</v>
      </c>
      <c r="AR26" s="13">
        <v>0</v>
      </c>
      <c r="AS26" s="13">
        <v>0</v>
      </c>
      <c r="AT26" s="13">
        <v>1</v>
      </c>
      <c r="AU26" s="13">
        <v>0</v>
      </c>
      <c r="AV26" s="56">
        <v>2230</v>
      </c>
      <c r="AW26" s="56">
        <v>49</v>
      </c>
      <c r="AX26" s="56"/>
      <c r="AY26" s="56"/>
      <c r="AZ26" s="56"/>
      <c r="BA26" s="56"/>
      <c r="BB26" s="13">
        <v>1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1</v>
      </c>
      <c r="BJ26" s="13">
        <v>0</v>
      </c>
      <c r="BK26" s="13">
        <v>0</v>
      </c>
      <c r="BL26" s="13">
        <v>1</v>
      </c>
      <c r="BM26" s="13">
        <v>0</v>
      </c>
      <c r="BN26" s="13">
        <v>0</v>
      </c>
      <c r="BO26" s="13">
        <v>0</v>
      </c>
      <c r="BP26" s="13">
        <v>1</v>
      </c>
      <c r="BQ26" s="13">
        <v>0</v>
      </c>
      <c r="BR26" s="13">
        <v>0</v>
      </c>
      <c r="BS26" s="13">
        <v>213</v>
      </c>
      <c r="BT26" s="13">
        <v>215</v>
      </c>
      <c r="BU26" s="57">
        <v>23</v>
      </c>
      <c r="CD26" s="42" t="s">
        <v>294</v>
      </c>
      <c r="CE26" s="13">
        <v>119</v>
      </c>
      <c r="CF26" s="13">
        <v>11.1</v>
      </c>
      <c r="CG26" s="13">
        <v>4.3600000000000003</v>
      </c>
      <c r="CH26" s="13">
        <v>378</v>
      </c>
      <c r="CI26" s="13">
        <v>0</v>
      </c>
      <c r="CJ26" s="13">
        <v>0</v>
      </c>
      <c r="CK26" s="13">
        <v>0</v>
      </c>
      <c r="CL26" s="13">
        <v>0</v>
      </c>
      <c r="CM26" s="13">
        <v>1</v>
      </c>
      <c r="CN26" s="82">
        <v>45384</v>
      </c>
      <c r="CO26" s="13">
        <v>1</v>
      </c>
      <c r="CP26" s="13">
        <v>0</v>
      </c>
      <c r="CQ26" s="13">
        <v>0</v>
      </c>
      <c r="CS26" s="13">
        <v>0</v>
      </c>
    </row>
    <row r="27" spans="1:97">
      <c r="A27" s="2" t="s">
        <v>27</v>
      </c>
      <c r="B27" s="19">
        <v>1</v>
      </c>
      <c r="C27" s="19">
        <v>1</v>
      </c>
      <c r="D27" s="19">
        <v>0</v>
      </c>
      <c r="E27" s="19">
        <v>1</v>
      </c>
      <c r="F27" s="19">
        <v>0</v>
      </c>
      <c r="G27" s="19">
        <v>1</v>
      </c>
      <c r="H27" s="19">
        <v>0</v>
      </c>
      <c r="I27" s="19">
        <v>1</v>
      </c>
      <c r="J27">
        <v>40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 s="19">
        <v>2800</v>
      </c>
      <c r="AW27" s="19">
        <v>48</v>
      </c>
      <c r="BB27">
        <v>1</v>
      </c>
      <c r="BC27">
        <v>1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194</v>
      </c>
      <c r="BT27">
        <v>273</v>
      </c>
      <c r="BU27" s="54">
        <v>16</v>
      </c>
      <c r="CD27" s="43" t="s">
        <v>301</v>
      </c>
      <c r="CE27">
        <v>125</v>
      </c>
      <c r="CF27">
        <v>10.9</v>
      </c>
      <c r="CG27">
        <v>3.76</v>
      </c>
      <c r="CH27">
        <v>182</v>
      </c>
      <c r="CN27" s="82">
        <v>44602</v>
      </c>
      <c r="CO27">
        <v>1</v>
      </c>
      <c r="CP27">
        <v>0</v>
      </c>
      <c r="CQ27" s="13">
        <v>0</v>
      </c>
      <c r="CS27" s="13">
        <v>0</v>
      </c>
    </row>
    <row r="28" spans="1:97">
      <c r="A28" s="2" t="s">
        <v>28</v>
      </c>
      <c r="B28" s="19">
        <v>1</v>
      </c>
      <c r="C28" s="19">
        <v>1</v>
      </c>
      <c r="D28" s="19">
        <v>1</v>
      </c>
      <c r="E28" s="19">
        <v>0</v>
      </c>
      <c r="F28" s="19">
        <v>0</v>
      </c>
      <c r="G28" s="19">
        <v>1</v>
      </c>
      <c r="H28" s="19">
        <v>0</v>
      </c>
      <c r="I28" s="19">
        <v>1</v>
      </c>
      <c r="J28">
        <v>37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 s="19">
        <v>2890</v>
      </c>
      <c r="AW28" s="19">
        <v>48</v>
      </c>
      <c r="BB28">
        <v>1</v>
      </c>
      <c r="BC28">
        <v>1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166</v>
      </c>
      <c r="BT28">
        <v>322</v>
      </c>
      <c r="BU28" s="54">
        <v>15</v>
      </c>
      <c r="CD28" s="35" t="s">
        <v>294</v>
      </c>
      <c r="CE28">
        <v>100</v>
      </c>
      <c r="CF28">
        <v>7.7</v>
      </c>
      <c r="CG28">
        <v>3.49</v>
      </c>
      <c r="CH28">
        <v>322</v>
      </c>
      <c r="CN28" s="82">
        <v>44560</v>
      </c>
      <c r="CO28">
        <v>1</v>
      </c>
      <c r="CP28">
        <v>0</v>
      </c>
      <c r="CQ28" s="13">
        <v>0</v>
      </c>
      <c r="CS28" s="13">
        <v>0</v>
      </c>
    </row>
    <row r="29" spans="1:97">
      <c r="A29" s="2" t="s">
        <v>29</v>
      </c>
      <c r="B29" s="19">
        <v>1</v>
      </c>
      <c r="C29" s="19">
        <v>1</v>
      </c>
      <c r="D29" s="19">
        <v>0</v>
      </c>
      <c r="E29" s="19">
        <v>1</v>
      </c>
      <c r="F29" s="19">
        <v>0</v>
      </c>
      <c r="G29" s="19">
        <v>1</v>
      </c>
      <c r="H29" s="19">
        <v>0</v>
      </c>
      <c r="I29" s="19">
        <v>1</v>
      </c>
      <c r="J29" s="1">
        <v>39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 s="19">
        <v>3670</v>
      </c>
      <c r="AW29" s="19">
        <v>54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189</v>
      </c>
      <c r="BT29">
        <v>226</v>
      </c>
      <c r="BU29" s="54">
        <v>24</v>
      </c>
      <c r="CD29" s="35" t="s">
        <v>294</v>
      </c>
      <c r="CE29" s="14">
        <v>95</v>
      </c>
      <c r="CF29">
        <v>10.7</v>
      </c>
      <c r="CG29">
        <v>3.25</v>
      </c>
      <c r="CH29">
        <v>347</v>
      </c>
      <c r="CN29" s="82">
        <v>44029</v>
      </c>
      <c r="CO29">
        <v>1</v>
      </c>
      <c r="CP29">
        <v>0</v>
      </c>
      <c r="CQ29" s="13">
        <v>0</v>
      </c>
      <c r="CS29" s="13">
        <v>0</v>
      </c>
    </row>
    <row r="30" spans="1:97">
      <c r="A30" s="5" t="s">
        <v>30</v>
      </c>
      <c r="B30" s="5">
        <v>1</v>
      </c>
      <c r="C30" s="5">
        <v>1</v>
      </c>
      <c r="D30" s="5">
        <v>0</v>
      </c>
      <c r="E30" s="5">
        <v>1</v>
      </c>
      <c r="F30" s="5">
        <v>0</v>
      </c>
      <c r="G30" s="5">
        <v>1</v>
      </c>
      <c r="H30" s="5">
        <v>0</v>
      </c>
      <c r="I30" s="5">
        <v>1</v>
      </c>
      <c r="J30" s="8">
        <v>44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 s="19">
        <v>3140</v>
      </c>
      <c r="AW30" s="19">
        <v>53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76</v>
      </c>
      <c r="BT30">
        <v>253</v>
      </c>
      <c r="BU30" s="54">
        <v>23</v>
      </c>
      <c r="CD30" s="8" t="s">
        <v>294</v>
      </c>
      <c r="CE30">
        <v>124</v>
      </c>
      <c r="CF30">
        <v>5.6</v>
      </c>
      <c r="CG30">
        <v>3.94</v>
      </c>
      <c r="CH30">
        <v>284</v>
      </c>
      <c r="CN30" s="86">
        <v>42870</v>
      </c>
      <c r="CO30">
        <v>1</v>
      </c>
      <c r="CP30">
        <v>0</v>
      </c>
      <c r="CQ30" s="13">
        <v>0</v>
      </c>
      <c r="CS30" s="13">
        <v>0</v>
      </c>
    </row>
    <row r="31" spans="1:97">
      <c r="A31" s="3" t="s">
        <v>31</v>
      </c>
      <c r="B31" s="18">
        <v>1</v>
      </c>
      <c r="C31" s="18">
        <v>1</v>
      </c>
      <c r="D31" s="18">
        <v>1</v>
      </c>
      <c r="E31" s="18">
        <v>0</v>
      </c>
      <c r="F31" s="18">
        <v>0</v>
      </c>
      <c r="G31" s="18">
        <v>1</v>
      </c>
      <c r="H31" s="18">
        <v>0</v>
      </c>
      <c r="I31" s="18">
        <v>1</v>
      </c>
      <c r="J31" s="1">
        <v>33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 s="19">
        <v>4390</v>
      </c>
      <c r="AW31" s="19">
        <v>51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196</v>
      </c>
      <c r="BT31">
        <v>203</v>
      </c>
      <c r="BU31" s="54">
        <v>15</v>
      </c>
      <c r="CD31" s="1" t="s">
        <v>294</v>
      </c>
      <c r="CE31" s="14">
        <v>96</v>
      </c>
      <c r="CF31">
        <v>9.1</v>
      </c>
      <c r="CG31">
        <v>3.47</v>
      </c>
      <c r="CH31">
        <v>227</v>
      </c>
      <c r="CN31" s="87">
        <v>43411</v>
      </c>
      <c r="CO31">
        <v>1</v>
      </c>
      <c r="CP31">
        <v>0</v>
      </c>
      <c r="CQ31" s="13">
        <v>0</v>
      </c>
      <c r="CS31" s="13">
        <v>0</v>
      </c>
    </row>
    <row r="32" spans="1:97">
      <c r="A32" s="2" t="s">
        <v>32</v>
      </c>
      <c r="B32" s="19">
        <v>1</v>
      </c>
      <c r="C32" s="19">
        <v>1</v>
      </c>
      <c r="D32" s="19">
        <v>1</v>
      </c>
      <c r="E32" s="19">
        <v>0</v>
      </c>
      <c r="F32" s="19">
        <v>0</v>
      </c>
      <c r="G32" s="19">
        <v>1</v>
      </c>
      <c r="H32" s="19">
        <v>0</v>
      </c>
      <c r="I32" s="19">
        <v>1</v>
      </c>
      <c r="J32">
        <v>32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 s="19">
        <v>3120</v>
      </c>
      <c r="AW32" s="19">
        <v>51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160</v>
      </c>
      <c r="BT32">
        <v>342</v>
      </c>
      <c r="BU32" s="54">
        <v>27</v>
      </c>
      <c r="CD32" s="41" t="s">
        <v>302</v>
      </c>
      <c r="CE32">
        <v>111</v>
      </c>
      <c r="CF32">
        <v>4.8</v>
      </c>
      <c r="CG32">
        <v>3.6</v>
      </c>
      <c r="CH32">
        <v>167</v>
      </c>
      <c r="CN32" s="88">
        <v>44428</v>
      </c>
      <c r="CO32">
        <v>1</v>
      </c>
      <c r="CP32">
        <v>0</v>
      </c>
      <c r="CQ32" s="13">
        <v>0</v>
      </c>
      <c r="CS32" s="13">
        <v>0</v>
      </c>
    </row>
    <row r="33" spans="1:97" s="13" customFormat="1">
      <c r="A33" s="55" t="s">
        <v>33</v>
      </c>
      <c r="B33" s="56">
        <v>1</v>
      </c>
      <c r="C33" s="56">
        <v>1</v>
      </c>
      <c r="D33" s="56">
        <v>0</v>
      </c>
      <c r="E33" s="56">
        <v>1</v>
      </c>
      <c r="F33" s="56">
        <v>0</v>
      </c>
      <c r="G33" s="56">
        <v>1</v>
      </c>
      <c r="H33" s="56">
        <v>0</v>
      </c>
      <c r="I33" s="56">
        <v>1</v>
      </c>
      <c r="J33" s="13">
        <v>37</v>
      </c>
      <c r="K33" s="13">
        <v>1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1</v>
      </c>
      <c r="W33" s="13">
        <v>1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1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1</v>
      </c>
      <c r="AT33" s="13">
        <v>0</v>
      </c>
      <c r="AU33" s="13">
        <v>0</v>
      </c>
      <c r="AV33" s="56">
        <v>2798</v>
      </c>
      <c r="AW33" s="56">
        <v>49</v>
      </c>
      <c r="AX33" s="56"/>
      <c r="AY33" s="56"/>
      <c r="AZ33" s="56"/>
      <c r="BA33" s="56"/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1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U33" s="57"/>
      <c r="CD33" s="44" t="s">
        <v>294</v>
      </c>
      <c r="CE33" s="13">
        <v>112</v>
      </c>
      <c r="CF33" s="13">
        <v>6.8</v>
      </c>
      <c r="CG33" s="13">
        <v>3.2</v>
      </c>
      <c r="CH33" s="13">
        <v>148</v>
      </c>
      <c r="CI33" s="13">
        <v>0</v>
      </c>
      <c r="CJ33" s="13">
        <v>0</v>
      </c>
      <c r="CK33" s="13">
        <v>0</v>
      </c>
      <c r="CL33" s="13">
        <v>1</v>
      </c>
      <c r="CM33" s="13">
        <v>0</v>
      </c>
      <c r="CN33" s="89">
        <v>45052</v>
      </c>
      <c r="CO33" s="13">
        <v>1</v>
      </c>
      <c r="CP33" s="13">
        <v>0</v>
      </c>
      <c r="CQ33" s="13">
        <v>0</v>
      </c>
      <c r="CS33" s="13">
        <v>0</v>
      </c>
    </row>
    <row r="34" spans="1:97">
      <c r="A34" s="2" t="s">
        <v>34</v>
      </c>
      <c r="B34" s="19">
        <v>1</v>
      </c>
      <c r="C34" s="19">
        <v>0</v>
      </c>
      <c r="D34" s="19">
        <v>0</v>
      </c>
      <c r="E34" s="19">
        <v>0</v>
      </c>
      <c r="F34" s="19">
        <v>1</v>
      </c>
      <c r="G34" s="19">
        <v>0</v>
      </c>
      <c r="H34" s="19">
        <v>1</v>
      </c>
      <c r="I34" s="19">
        <v>0</v>
      </c>
      <c r="J34">
        <v>37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 s="19">
        <v>3040</v>
      </c>
      <c r="AW34" s="19">
        <v>50</v>
      </c>
      <c r="BB34">
        <v>1</v>
      </c>
      <c r="BC34">
        <v>1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201</v>
      </c>
      <c r="BT34">
        <v>360</v>
      </c>
      <c r="BU34" s="54">
        <v>19</v>
      </c>
      <c r="CE34" s="14">
        <v>93</v>
      </c>
      <c r="CF34">
        <v>6.6</v>
      </c>
      <c r="CG34">
        <v>2.9</v>
      </c>
      <c r="CH34">
        <v>264</v>
      </c>
      <c r="CN34" s="88">
        <v>44584</v>
      </c>
      <c r="CO34">
        <v>1</v>
      </c>
      <c r="CP34">
        <v>0</v>
      </c>
      <c r="CQ34" s="13">
        <v>0</v>
      </c>
      <c r="CS34" s="13">
        <v>0</v>
      </c>
    </row>
    <row r="35" spans="1:97" s="13" customFormat="1">
      <c r="A35" s="63" t="s">
        <v>35</v>
      </c>
      <c r="B35" s="64">
        <v>1</v>
      </c>
      <c r="C35" s="64">
        <v>0</v>
      </c>
      <c r="D35" s="64">
        <v>0</v>
      </c>
      <c r="E35" s="64">
        <v>1</v>
      </c>
      <c r="F35" s="64">
        <v>0</v>
      </c>
      <c r="G35" s="64">
        <v>1</v>
      </c>
      <c r="H35" s="64">
        <v>1</v>
      </c>
      <c r="I35" s="64">
        <v>0</v>
      </c>
      <c r="J35" s="65">
        <v>40</v>
      </c>
      <c r="K35" s="13">
        <v>1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1</v>
      </c>
      <c r="Y35" s="13">
        <v>0</v>
      </c>
      <c r="Z35" s="13">
        <v>0</v>
      </c>
      <c r="AA35" s="13">
        <v>0</v>
      </c>
      <c r="AB35" s="13">
        <v>1</v>
      </c>
      <c r="AC35" s="13">
        <v>1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1</v>
      </c>
      <c r="AR35" s="13">
        <v>0</v>
      </c>
      <c r="AS35" s="13">
        <v>1</v>
      </c>
      <c r="AT35" s="13">
        <v>0</v>
      </c>
      <c r="AU35" s="13">
        <v>0</v>
      </c>
      <c r="AV35" s="56">
        <v>1420</v>
      </c>
      <c r="AW35" s="56">
        <v>39</v>
      </c>
      <c r="AX35" s="56"/>
      <c r="AY35" s="56"/>
      <c r="AZ35" s="56"/>
      <c r="BA35" s="56"/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1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219</v>
      </c>
      <c r="BT35" s="13">
        <v>69</v>
      </c>
      <c r="BU35" s="57">
        <v>10</v>
      </c>
      <c r="CD35" s="66">
        <v>42401</v>
      </c>
      <c r="CE35" s="14">
        <v>88</v>
      </c>
      <c r="CF35" s="13">
        <v>11</v>
      </c>
      <c r="CG35" s="13">
        <v>3</v>
      </c>
      <c r="CH35" s="13">
        <v>11</v>
      </c>
      <c r="CI35" s="13">
        <v>0</v>
      </c>
      <c r="CJ35" s="13">
        <v>0</v>
      </c>
      <c r="CK35" s="13">
        <v>1</v>
      </c>
      <c r="CL35" s="13">
        <v>0</v>
      </c>
      <c r="CM35" s="13">
        <v>0</v>
      </c>
      <c r="CN35" s="90">
        <v>42390</v>
      </c>
      <c r="CO35" s="13">
        <v>0</v>
      </c>
      <c r="CP35" s="13">
        <v>1</v>
      </c>
      <c r="CQ35" s="13">
        <v>0</v>
      </c>
      <c r="CR35" s="95">
        <v>42401</v>
      </c>
      <c r="CS35" s="13">
        <v>0</v>
      </c>
    </row>
    <row r="36" spans="1:97">
      <c r="A36" s="7" t="s">
        <v>36</v>
      </c>
      <c r="B36" s="7">
        <v>1</v>
      </c>
      <c r="C36" s="7">
        <v>0</v>
      </c>
      <c r="D36" s="7">
        <v>0</v>
      </c>
      <c r="E36" s="7">
        <v>1</v>
      </c>
      <c r="F36" s="7">
        <v>0</v>
      </c>
      <c r="G36" s="7">
        <v>1</v>
      </c>
      <c r="H36" s="7">
        <v>1</v>
      </c>
      <c r="I36" s="7">
        <v>0</v>
      </c>
      <c r="J36" s="8">
        <v>36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 s="19">
        <v>2990</v>
      </c>
      <c r="AW36" s="19">
        <v>49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152</v>
      </c>
      <c r="BT36">
        <v>325</v>
      </c>
      <c r="BU36" s="54">
        <v>14</v>
      </c>
      <c r="CD36" s="45" t="s">
        <v>301</v>
      </c>
      <c r="CE36" s="14">
        <v>95</v>
      </c>
      <c r="CF36">
        <v>9</v>
      </c>
      <c r="CG36">
        <v>3.5</v>
      </c>
      <c r="CH36">
        <v>419</v>
      </c>
      <c r="CN36" s="91">
        <v>42780</v>
      </c>
      <c r="CO36">
        <v>0</v>
      </c>
      <c r="CP36">
        <v>0</v>
      </c>
      <c r="CQ36" s="13">
        <v>0</v>
      </c>
      <c r="CS36">
        <v>1</v>
      </c>
    </row>
    <row r="37" spans="1:97" s="13" customFormat="1">
      <c r="A37" s="59" t="s">
        <v>37</v>
      </c>
      <c r="B37" s="60">
        <v>1</v>
      </c>
      <c r="C37" s="60">
        <v>0</v>
      </c>
      <c r="D37" s="60">
        <v>1</v>
      </c>
      <c r="E37" s="60">
        <v>0</v>
      </c>
      <c r="F37" s="60">
        <v>0</v>
      </c>
      <c r="G37" s="60">
        <v>1</v>
      </c>
      <c r="H37" s="60">
        <v>1</v>
      </c>
      <c r="I37" s="60">
        <v>0</v>
      </c>
      <c r="J37" s="48">
        <v>32</v>
      </c>
      <c r="K37" s="13">
        <v>1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1</v>
      </c>
      <c r="Z37" s="13">
        <v>0</v>
      </c>
      <c r="AA37" s="13">
        <v>0</v>
      </c>
      <c r="AB37" s="13">
        <v>0</v>
      </c>
      <c r="AC37" s="13">
        <v>1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1</v>
      </c>
      <c r="AP37" s="13">
        <v>0</v>
      </c>
      <c r="AQ37" s="13">
        <v>0</v>
      </c>
      <c r="AR37" s="13">
        <v>0</v>
      </c>
      <c r="AS37" s="13">
        <v>1</v>
      </c>
      <c r="AT37" s="13">
        <v>0</v>
      </c>
      <c r="AU37" s="13">
        <v>0</v>
      </c>
      <c r="AV37" s="56">
        <v>2350</v>
      </c>
      <c r="AW37" s="56">
        <v>43</v>
      </c>
      <c r="AX37" s="56"/>
      <c r="AY37" s="56"/>
      <c r="AZ37" s="56"/>
      <c r="BA37" s="56"/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1</v>
      </c>
      <c r="BP37" s="13">
        <v>0</v>
      </c>
      <c r="BQ37" s="13">
        <v>0</v>
      </c>
      <c r="BR37" s="13">
        <v>0</v>
      </c>
      <c r="BS37" s="13">
        <v>157</v>
      </c>
      <c r="BT37" s="13">
        <v>227</v>
      </c>
      <c r="BU37" s="57">
        <v>11</v>
      </c>
      <c r="CD37" s="46" t="s">
        <v>303</v>
      </c>
      <c r="CE37" s="13">
        <v>109</v>
      </c>
      <c r="CF37" s="13">
        <v>11</v>
      </c>
      <c r="CG37" s="13">
        <v>3.9</v>
      </c>
      <c r="CH37" s="13">
        <v>255</v>
      </c>
      <c r="CI37" s="13">
        <v>0</v>
      </c>
      <c r="CJ37" s="13">
        <v>0</v>
      </c>
      <c r="CK37" s="13">
        <v>0</v>
      </c>
      <c r="CL37" s="13">
        <v>1</v>
      </c>
      <c r="CM37" s="13">
        <v>0</v>
      </c>
      <c r="CN37" s="39">
        <v>43178</v>
      </c>
      <c r="CO37" s="13">
        <v>0</v>
      </c>
      <c r="CP37" s="13">
        <v>0</v>
      </c>
      <c r="CQ37" s="13">
        <v>0</v>
      </c>
      <c r="CS37" s="13">
        <v>1</v>
      </c>
    </row>
    <row r="38" spans="1:97">
      <c r="A38" s="3" t="s">
        <v>38</v>
      </c>
      <c r="B38" s="18">
        <v>1</v>
      </c>
      <c r="C38" s="18">
        <v>1</v>
      </c>
      <c r="D38" s="18">
        <v>1</v>
      </c>
      <c r="E38" s="18">
        <v>1</v>
      </c>
      <c r="F38" s="18">
        <v>0</v>
      </c>
      <c r="G38" s="18">
        <v>1</v>
      </c>
      <c r="H38" s="18">
        <v>0</v>
      </c>
      <c r="I38" s="18">
        <v>1</v>
      </c>
      <c r="J38" s="1">
        <v>38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 s="19">
        <v>2720</v>
      </c>
      <c r="AW38" s="19">
        <v>47</v>
      </c>
      <c r="BB38">
        <v>1</v>
      </c>
      <c r="BC38">
        <v>1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s="1">
        <v>193</v>
      </c>
      <c r="BT38" s="1">
        <v>408</v>
      </c>
      <c r="BU38" s="53">
        <v>22</v>
      </c>
      <c r="CD38" s="49">
        <v>45505</v>
      </c>
      <c r="CE38">
        <v>107</v>
      </c>
      <c r="CF38">
        <v>8.8000000000000007</v>
      </c>
      <c r="CG38">
        <v>3.3</v>
      </c>
      <c r="CH38">
        <v>215</v>
      </c>
      <c r="CN38" s="34">
        <v>44966</v>
      </c>
      <c r="CO38">
        <v>0</v>
      </c>
      <c r="CP38">
        <v>1</v>
      </c>
      <c r="CQ38" s="13">
        <v>0</v>
      </c>
      <c r="CR38" s="96">
        <v>45505</v>
      </c>
      <c r="CS38" s="13">
        <v>0</v>
      </c>
    </row>
    <row r="39" spans="1:97">
      <c r="A39" s="3" t="s">
        <v>39</v>
      </c>
      <c r="B39" s="18">
        <v>1</v>
      </c>
      <c r="C39" s="18">
        <v>1</v>
      </c>
      <c r="D39" s="18">
        <v>0</v>
      </c>
      <c r="E39" s="18">
        <v>1</v>
      </c>
      <c r="F39" s="18">
        <v>0</v>
      </c>
      <c r="G39" s="18">
        <v>1</v>
      </c>
      <c r="H39" s="18">
        <v>0</v>
      </c>
      <c r="I39" s="18">
        <v>1</v>
      </c>
      <c r="J39" s="1">
        <v>32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 s="19">
        <v>3050</v>
      </c>
      <c r="AW39" s="19">
        <v>49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 s="1">
        <v>186</v>
      </c>
      <c r="BT39" s="1">
        <v>156</v>
      </c>
      <c r="BU39" s="53">
        <v>12</v>
      </c>
      <c r="CD39" t="s">
        <v>294</v>
      </c>
      <c r="CE39">
        <v>136</v>
      </c>
      <c r="CF39">
        <v>11.8</v>
      </c>
      <c r="CG39">
        <v>4.38</v>
      </c>
      <c r="CH39">
        <v>158</v>
      </c>
      <c r="CN39" s="34">
        <v>44435</v>
      </c>
      <c r="CO39">
        <v>1</v>
      </c>
      <c r="CP39">
        <v>0</v>
      </c>
      <c r="CQ39" s="13">
        <v>0</v>
      </c>
      <c r="CS39" s="13">
        <v>0</v>
      </c>
    </row>
    <row r="40" spans="1:97">
      <c r="A40" s="3" t="s">
        <v>40</v>
      </c>
      <c r="B40" s="18">
        <v>1</v>
      </c>
      <c r="C40" s="18">
        <v>0</v>
      </c>
      <c r="D40" s="18">
        <v>1</v>
      </c>
      <c r="E40" s="18">
        <v>1</v>
      </c>
      <c r="F40" s="18">
        <v>0</v>
      </c>
      <c r="G40" s="18">
        <v>1</v>
      </c>
      <c r="H40" s="18">
        <v>1</v>
      </c>
      <c r="I40" s="18">
        <v>0</v>
      </c>
      <c r="J40" s="1">
        <v>32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 s="19">
        <v>3510</v>
      </c>
      <c r="AW40" s="19">
        <v>53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s="1">
        <v>211</v>
      </c>
      <c r="BT40" s="1">
        <v>263</v>
      </c>
      <c r="BU40" s="53">
        <v>19</v>
      </c>
      <c r="CD40" t="s">
        <v>294</v>
      </c>
      <c r="CE40">
        <v>116</v>
      </c>
      <c r="CF40">
        <v>11.6</v>
      </c>
      <c r="CG40">
        <v>3.68</v>
      </c>
      <c r="CH40">
        <v>209</v>
      </c>
      <c r="CN40" s="34">
        <v>44970</v>
      </c>
      <c r="CO40">
        <v>1</v>
      </c>
      <c r="CP40">
        <v>0</v>
      </c>
      <c r="CQ40" s="13">
        <v>0</v>
      </c>
      <c r="CS40" s="13">
        <v>0</v>
      </c>
    </row>
    <row r="41" spans="1:97">
      <c r="A41" s="3" t="s">
        <v>41</v>
      </c>
      <c r="B41" s="18">
        <v>1</v>
      </c>
      <c r="C41" s="18">
        <v>1</v>
      </c>
      <c r="D41" s="18">
        <v>0</v>
      </c>
      <c r="E41" s="18">
        <v>0</v>
      </c>
      <c r="F41" s="18">
        <v>0</v>
      </c>
      <c r="G41" s="18">
        <v>1</v>
      </c>
      <c r="H41" s="18">
        <v>0</v>
      </c>
      <c r="I41" s="18">
        <v>1</v>
      </c>
      <c r="J41" s="1">
        <v>38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 s="19">
        <v>3250</v>
      </c>
      <c r="AW41" s="19">
        <v>50</v>
      </c>
      <c r="BB41">
        <v>1</v>
      </c>
      <c r="BC41">
        <v>1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1</v>
      </c>
      <c r="BQ41">
        <v>0</v>
      </c>
      <c r="BR41">
        <v>0</v>
      </c>
      <c r="BS41" s="1">
        <v>206</v>
      </c>
      <c r="BT41" s="1">
        <v>434</v>
      </c>
      <c r="BU41" s="53">
        <v>31</v>
      </c>
      <c r="CD41" t="s">
        <v>294</v>
      </c>
      <c r="CE41">
        <v>133</v>
      </c>
      <c r="CF41">
        <v>6.7</v>
      </c>
      <c r="CG41">
        <v>4.3</v>
      </c>
      <c r="CH41">
        <v>233</v>
      </c>
      <c r="CN41" s="34">
        <v>45094</v>
      </c>
      <c r="CO41">
        <v>1</v>
      </c>
      <c r="CP41">
        <v>0</v>
      </c>
      <c r="CQ41" s="13">
        <v>0</v>
      </c>
      <c r="CS41" s="13">
        <v>0</v>
      </c>
    </row>
    <row r="42" spans="1:97" s="13" customFormat="1">
      <c r="A42" s="59" t="s">
        <v>42</v>
      </c>
      <c r="B42" s="60">
        <v>1</v>
      </c>
      <c r="C42" s="60">
        <v>0</v>
      </c>
      <c r="D42" s="60">
        <v>0</v>
      </c>
      <c r="E42" s="60">
        <v>0</v>
      </c>
      <c r="F42" s="60">
        <v>1</v>
      </c>
      <c r="G42" s="60">
        <v>0</v>
      </c>
      <c r="H42" s="60">
        <v>1</v>
      </c>
      <c r="I42" s="60">
        <v>0</v>
      </c>
      <c r="J42" s="48">
        <v>33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</v>
      </c>
      <c r="AF42" s="13">
        <v>0</v>
      </c>
      <c r="AG42" s="13">
        <v>0</v>
      </c>
      <c r="AH42" s="13">
        <v>0</v>
      </c>
      <c r="AI42" s="13">
        <v>0</v>
      </c>
      <c r="AJ42" s="13">
        <v>1</v>
      </c>
      <c r="AK42" s="13">
        <v>0</v>
      </c>
      <c r="AL42" s="13">
        <v>0</v>
      </c>
      <c r="AM42" s="13">
        <v>0</v>
      </c>
      <c r="AN42" s="13">
        <v>0</v>
      </c>
      <c r="AO42" s="13">
        <v>1</v>
      </c>
      <c r="AP42" s="13">
        <v>0</v>
      </c>
      <c r="AQ42" s="13">
        <v>0</v>
      </c>
      <c r="AR42" s="13">
        <v>0</v>
      </c>
      <c r="AS42" s="13">
        <v>1</v>
      </c>
      <c r="AT42" s="13">
        <v>0</v>
      </c>
      <c r="AU42" s="13">
        <v>0</v>
      </c>
      <c r="AV42" s="56">
        <v>2600</v>
      </c>
      <c r="AW42" s="56">
        <v>46</v>
      </c>
      <c r="AX42" s="56"/>
      <c r="AY42" s="56"/>
      <c r="AZ42" s="56"/>
      <c r="BA42" s="56"/>
      <c r="BB42" s="13">
        <v>1</v>
      </c>
      <c r="BC42" s="13">
        <v>1</v>
      </c>
      <c r="BD42" s="13">
        <v>1</v>
      </c>
      <c r="BE42" s="13">
        <v>0</v>
      </c>
      <c r="BF42" s="13">
        <v>1</v>
      </c>
      <c r="BG42" s="13">
        <v>0</v>
      </c>
      <c r="BH42" s="13">
        <v>0</v>
      </c>
      <c r="BI42" s="13">
        <v>1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1</v>
      </c>
      <c r="BQ42" s="13">
        <v>0</v>
      </c>
      <c r="BR42" s="13">
        <v>0</v>
      </c>
      <c r="BS42" s="48">
        <v>177</v>
      </c>
      <c r="BT42" s="48">
        <v>299</v>
      </c>
      <c r="BU42" s="67">
        <v>19</v>
      </c>
      <c r="CD42" s="13" t="s">
        <v>294</v>
      </c>
      <c r="CE42" s="14">
        <v>99</v>
      </c>
      <c r="CF42" s="13">
        <v>7.8</v>
      </c>
      <c r="CG42" s="13">
        <v>3.3</v>
      </c>
      <c r="CH42" s="14">
        <v>136</v>
      </c>
      <c r="CI42" s="13">
        <v>0</v>
      </c>
      <c r="CJ42" s="13">
        <v>0</v>
      </c>
      <c r="CK42" s="13">
        <v>1</v>
      </c>
      <c r="CL42" s="13">
        <v>0</v>
      </c>
      <c r="CM42" s="13">
        <v>0</v>
      </c>
      <c r="CN42" s="92">
        <v>44256</v>
      </c>
      <c r="CO42" s="13">
        <v>1</v>
      </c>
      <c r="CP42" s="13">
        <v>0</v>
      </c>
      <c r="CQ42" s="13">
        <v>0</v>
      </c>
      <c r="CS42" s="13">
        <v>0</v>
      </c>
    </row>
    <row r="43" spans="1:97" s="13" customFormat="1">
      <c r="A43" s="59" t="s">
        <v>43</v>
      </c>
      <c r="B43" s="60">
        <v>1</v>
      </c>
      <c r="C43" s="60">
        <v>1</v>
      </c>
      <c r="D43" s="60">
        <v>0</v>
      </c>
      <c r="E43" s="60">
        <v>0</v>
      </c>
      <c r="F43" s="60">
        <v>0</v>
      </c>
      <c r="G43" s="60">
        <v>1</v>
      </c>
      <c r="H43" s="60">
        <v>0</v>
      </c>
      <c r="I43" s="60">
        <v>1</v>
      </c>
      <c r="J43" s="48">
        <v>32</v>
      </c>
      <c r="K43" s="13">
        <v>1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1</v>
      </c>
      <c r="AK43" s="13">
        <v>1</v>
      </c>
      <c r="AL43" s="13">
        <v>0</v>
      </c>
      <c r="AM43" s="13">
        <v>0</v>
      </c>
      <c r="AN43" s="13">
        <v>0</v>
      </c>
      <c r="AO43" s="13">
        <v>0</v>
      </c>
      <c r="AP43" s="13">
        <v>1</v>
      </c>
      <c r="AQ43" s="13">
        <v>0</v>
      </c>
      <c r="AR43" s="13">
        <v>0</v>
      </c>
      <c r="AS43" s="13">
        <v>0</v>
      </c>
      <c r="AT43" s="13">
        <v>1</v>
      </c>
      <c r="AU43" s="13">
        <v>0</v>
      </c>
      <c r="AV43" s="56">
        <v>1640</v>
      </c>
      <c r="AW43" s="56">
        <v>39</v>
      </c>
      <c r="AX43" s="56">
        <v>1560</v>
      </c>
      <c r="AY43" s="56">
        <v>43</v>
      </c>
      <c r="AZ43" s="56"/>
      <c r="BA43" s="56"/>
      <c r="BB43" s="13">
        <v>1</v>
      </c>
      <c r="BC43" s="13">
        <v>1</v>
      </c>
      <c r="BD43" s="13">
        <v>0</v>
      </c>
      <c r="BE43" s="13">
        <v>1</v>
      </c>
      <c r="BF43" s="13">
        <v>1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1</v>
      </c>
      <c r="BQ43" s="13">
        <v>1</v>
      </c>
      <c r="BR43" s="13">
        <v>0</v>
      </c>
      <c r="BS43" s="48">
        <v>164</v>
      </c>
      <c r="BT43" s="48">
        <v>249</v>
      </c>
      <c r="BU43" s="67">
        <v>8</v>
      </c>
      <c r="BV43" s="48">
        <v>184</v>
      </c>
      <c r="BW43" s="48">
        <v>219</v>
      </c>
      <c r="BX43" s="48">
        <v>9</v>
      </c>
      <c r="CD43" s="13" t="s">
        <v>294</v>
      </c>
      <c r="CE43" s="13">
        <v>102</v>
      </c>
      <c r="CF43" s="13">
        <v>5.7</v>
      </c>
      <c r="CG43" s="13">
        <v>3.1</v>
      </c>
      <c r="CH43" s="13">
        <v>245</v>
      </c>
      <c r="CI43" s="13">
        <v>0</v>
      </c>
      <c r="CJ43" s="13">
        <v>0</v>
      </c>
      <c r="CK43" s="13">
        <v>0</v>
      </c>
      <c r="CL43" s="13">
        <v>0</v>
      </c>
      <c r="CM43" s="13">
        <v>1</v>
      </c>
      <c r="CN43" s="92">
        <v>44197</v>
      </c>
      <c r="CO43" s="13">
        <v>1</v>
      </c>
      <c r="CP43" s="13">
        <v>0</v>
      </c>
      <c r="CQ43" s="13">
        <v>0</v>
      </c>
      <c r="CS43" s="13">
        <v>0</v>
      </c>
    </row>
    <row r="44" spans="1:97">
      <c r="A44" s="3" t="s">
        <v>44</v>
      </c>
      <c r="B44" s="18">
        <v>1</v>
      </c>
      <c r="C44" s="18">
        <v>1</v>
      </c>
      <c r="D44" s="18">
        <v>0</v>
      </c>
      <c r="E44" s="18">
        <v>0</v>
      </c>
      <c r="F44" s="18">
        <v>0</v>
      </c>
      <c r="G44" s="18">
        <v>1</v>
      </c>
      <c r="H44" s="18">
        <v>0</v>
      </c>
      <c r="I44" s="18">
        <v>1</v>
      </c>
      <c r="J44" s="1">
        <v>36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 s="19">
        <v>2850</v>
      </c>
      <c r="AW44" s="19">
        <v>50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s="1">
        <v>223</v>
      </c>
      <c r="BT44" s="1">
        <v>226</v>
      </c>
      <c r="BU44" s="53">
        <v>20</v>
      </c>
      <c r="CD44" t="s">
        <v>294</v>
      </c>
      <c r="CE44">
        <v>120</v>
      </c>
      <c r="CF44">
        <v>8.5</v>
      </c>
      <c r="CG44">
        <v>3.7</v>
      </c>
      <c r="CH44">
        <v>268</v>
      </c>
      <c r="CN44" s="34">
        <v>45072</v>
      </c>
      <c r="CO44">
        <v>1</v>
      </c>
      <c r="CP44">
        <v>0</v>
      </c>
      <c r="CQ44" s="13">
        <v>0</v>
      </c>
      <c r="CS44" s="13">
        <v>0</v>
      </c>
    </row>
    <row r="45" spans="1:97">
      <c r="A45" s="9" t="s">
        <v>45</v>
      </c>
      <c r="B45" s="18">
        <v>1</v>
      </c>
      <c r="C45" s="18">
        <v>1</v>
      </c>
      <c r="D45" s="18">
        <v>1</v>
      </c>
      <c r="E45" s="18">
        <v>0</v>
      </c>
      <c r="F45" s="18">
        <v>0</v>
      </c>
      <c r="G45" s="18">
        <v>1</v>
      </c>
      <c r="H45" s="18">
        <v>0</v>
      </c>
      <c r="I45" s="18">
        <v>1</v>
      </c>
      <c r="J45" s="1">
        <v>43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CN45" s="34">
        <v>44977</v>
      </c>
      <c r="CO45">
        <v>1</v>
      </c>
      <c r="CP45">
        <v>0</v>
      </c>
      <c r="CQ45" s="13">
        <v>0</v>
      </c>
      <c r="CS45" s="13">
        <v>0</v>
      </c>
    </row>
    <row r="46" spans="1:97">
      <c r="A46" s="9" t="s">
        <v>46</v>
      </c>
      <c r="B46" s="18">
        <v>1</v>
      </c>
      <c r="C46" s="18">
        <v>0</v>
      </c>
      <c r="D46" s="18">
        <v>0</v>
      </c>
      <c r="E46" s="18">
        <v>0</v>
      </c>
      <c r="F46" s="18">
        <v>1</v>
      </c>
      <c r="G46" s="18">
        <v>0</v>
      </c>
      <c r="H46" s="18">
        <v>1</v>
      </c>
      <c r="I46" s="18">
        <v>0</v>
      </c>
      <c r="J46" s="1">
        <v>31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 s="19">
        <v>3290</v>
      </c>
      <c r="AW46" s="19">
        <v>53</v>
      </c>
      <c r="BB46">
        <v>1</v>
      </c>
      <c r="BC46">
        <v>1</v>
      </c>
      <c r="BD46">
        <v>0</v>
      </c>
      <c r="BE46">
        <v>1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175</v>
      </c>
      <c r="BT46">
        <v>387</v>
      </c>
      <c r="BU46" s="54">
        <v>6</v>
      </c>
      <c r="CE46">
        <v>121</v>
      </c>
      <c r="CF46">
        <v>14.3</v>
      </c>
      <c r="CG46">
        <v>4.17</v>
      </c>
      <c r="CH46">
        <v>263</v>
      </c>
      <c r="CN46" s="34">
        <v>45555</v>
      </c>
      <c r="CO46">
        <v>1</v>
      </c>
      <c r="CP46">
        <v>0</v>
      </c>
      <c r="CQ46" s="13">
        <v>0</v>
      </c>
      <c r="CS46" s="13">
        <v>0</v>
      </c>
    </row>
    <row r="47" spans="1:97">
      <c r="A47" s="9" t="s">
        <v>47</v>
      </c>
      <c r="B47" s="18">
        <v>1</v>
      </c>
      <c r="C47" s="18">
        <v>1</v>
      </c>
      <c r="D47" s="18">
        <v>0</v>
      </c>
      <c r="E47" s="18">
        <v>1</v>
      </c>
      <c r="F47" s="18">
        <v>0</v>
      </c>
      <c r="G47" s="18">
        <v>1</v>
      </c>
      <c r="H47" s="18">
        <v>0</v>
      </c>
      <c r="I47" s="18">
        <v>1</v>
      </c>
      <c r="J47" s="1">
        <v>37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 s="19">
        <v>3640</v>
      </c>
      <c r="AW47" s="19">
        <v>52</v>
      </c>
      <c r="BB47">
        <v>1</v>
      </c>
      <c r="BC47">
        <v>1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176</v>
      </c>
      <c r="BT47">
        <v>283</v>
      </c>
      <c r="BU47" s="54">
        <v>14</v>
      </c>
      <c r="CE47">
        <v>108</v>
      </c>
      <c r="CF47">
        <v>10</v>
      </c>
      <c r="CG47">
        <v>3.5</v>
      </c>
      <c r="CH47">
        <v>149</v>
      </c>
      <c r="CN47" s="34">
        <v>45597</v>
      </c>
      <c r="CO47">
        <v>0</v>
      </c>
      <c r="CP47">
        <v>0</v>
      </c>
      <c r="CQ47" s="13">
        <v>0</v>
      </c>
      <c r="CS47">
        <v>1</v>
      </c>
    </row>
    <row r="48" spans="1:97" s="13" customFormat="1">
      <c r="A48" s="68" t="s">
        <v>48</v>
      </c>
      <c r="B48" s="60">
        <v>1</v>
      </c>
      <c r="C48" s="60">
        <v>0</v>
      </c>
      <c r="D48" s="60">
        <v>0</v>
      </c>
      <c r="E48" s="60">
        <v>0</v>
      </c>
      <c r="F48" s="60">
        <v>1</v>
      </c>
      <c r="G48" s="60">
        <v>0</v>
      </c>
      <c r="H48" s="60">
        <v>1</v>
      </c>
      <c r="I48" s="60">
        <v>0</v>
      </c>
      <c r="J48" s="48">
        <v>32</v>
      </c>
      <c r="K48" s="13">
        <v>1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1</v>
      </c>
      <c r="AQ48" s="13">
        <v>0</v>
      </c>
      <c r="AR48" s="13">
        <v>0</v>
      </c>
      <c r="AS48" s="13">
        <v>0</v>
      </c>
      <c r="AT48" s="13">
        <v>1</v>
      </c>
      <c r="AU48" s="13">
        <v>0</v>
      </c>
      <c r="AV48" s="56">
        <v>2380</v>
      </c>
      <c r="AW48" s="56">
        <v>45</v>
      </c>
      <c r="AX48" s="56"/>
      <c r="AY48" s="56"/>
      <c r="AZ48" s="56"/>
      <c r="BA48" s="56"/>
      <c r="BB48" s="13">
        <v>1</v>
      </c>
      <c r="BC48" s="13">
        <v>1</v>
      </c>
      <c r="BD48" s="13">
        <v>0</v>
      </c>
      <c r="BE48" s="13">
        <v>1</v>
      </c>
      <c r="BF48" s="13">
        <v>1</v>
      </c>
      <c r="BG48" s="13">
        <v>0</v>
      </c>
      <c r="BH48" s="13">
        <v>0</v>
      </c>
      <c r="BI48" s="13">
        <v>1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172</v>
      </c>
      <c r="BT48" s="13">
        <v>371</v>
      </c>
      <c r="BU48" s="57">
        <v>21</v>
      </c>
      <c r="CE48" s="13">
        <v>112</v>
      </c>
      <c r="CF48" s="13">
        <v>5.3</v>
      </c>
      <c r="CG48" s="13">
        <v>3.5</v>
      </c>
      <c r="CH48" s="13">
        <v>271</v>
      </c>
      <c r="CI48" s="13">
        <v>0</v>
      </c>
      <c r="CJ48" s="13">
        <v>0</v>
      </c>
      <c r="CK48" s="13">
        <v>0</v>
      </c>
      <c r="CL48" s="13">
        <v>0</v>
      </c>
      <c r="CM48" s="13">
        <v>1</v>
      </c>
      <c r="CN48" s="39">
        <v>45480</v>
      </c>
      <c r="CO48" s="13">
        <v>1</v>
      </c>
      <c r="CP48" s="13">
        <v>0</v>
      </c>
      <c r="CQ48" s="13">
        <v>0</v>
      </c>
      <c r="CS48" s="13">
        <v>0</v>
      </c>
    </row>
    <row r="49" spans="1:97" s="13" customFormat="1">
      <c r="A49" s="68" t="s">
        <v>49</v>
      </c>
      <c r="B49" s="60">
        <v>1</v>
      </c>
      <c r="C49" s="60">
        <v>0</v>
      </c>
      <c r="D49" s="60">
        <v>0</v>
      </c>
      <c r="E49" s="60">
        <v>0</v>
      </c>
      <c r="F49" s="60">
        <v>1</v>
      </c>
      <c r="G49" s="60">
        <v>0</v>
      </c>
      <c r="H49" s="60">
        <v>1</v>
      </c>
      <c r="I49" s="60">
        <v>0</v>
      </c>
      <c r="J49" s="48">
        <v>35</v>
      </c>
      <c r="K49" s="13">
        <v>1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1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1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1</v>
      </c>
      <c r="AP49" s="13">
        <v>0</v>
      </c>
      <c r="AQ49" s="13">
        <v>0</v>
      </c>
      <c r="AR49" s="13">
        <v>0</v>
      </c>
      <c r="AS49" s="13">
        <v>0</v>
      </c>
      <c r="AT49" s="13">
        <v>1</v>
      </c>
      <c r="AU49" s="13">
        <v>0</v>
      </c>
      <c r="AV49" s="56">
        <v>2460</v>
      </c>
      <c r="AW49" s="56">
        <v>48</v>
      </c>
      <c r="AX49" s="56"/>
      <c r="AY49" s="56"/>
      <c r="AZ49" s="56"/>
      <c r="BA49" s="56"/>
      <c r="BB49" s="13">
        <v>1</v>
      </c>
      <c r="BC49" s="13">
        <v>1</v>
      </c>
      <c r="BD49" s="13">
        <v>0</v>
      </c>
      <c r="BE49" s="13">
        <v>1</v>
      </c>
      <c r="BF49" s="13">
        <v>1</v>
      </c>
      <c r="BG49" s="13">
        <v>0</v>
      </c>
      <c r="BH49" s="13">
        <v>0</v>
      </c>
      <c r="BI49" s="13">
        <v>1</v>
      </c>
      <c r="BJ49" s="13">
        <v>0</v>
      </c>
      <c r="BK49" s="13">
        <v>0</v>
      </c>
      <c r="BL49" s="13">
        <v>1</v>
      </c>
      <c r="BM49" s="13">
        <v>0</v>
      </c>
      <c r="BN49" s="13">
        <v>0</v>
      </c>
      <c r="BO49" s="13">
        <v>1</v>
      </c>
      <c r="BP49" s="13">
        <v>0</v>
      </c>
      <c r="BQ49" s="13">
        <v>0</v>
      </c>
      <c r="BR49" s="13">
        <v>0</v>
      </c>
      <c r="BS49" s="13">
        <v>177</v>
      </c>
      <c r="BT49" s="13">
        <v>296</v>
      </c>
      <c r="BU49" s="57">
        <v>15</v>
      </c>
      <c r="CE49" s="13">
        <v>105</v>
      </c>
      <c r="CF49" s="13">
        <v>8.8000000000000007</v>
      </c>
      <c r="CG49" s="13">
        <v>3.1</v>
      </c>
      <c r="CH49" s="13">
        <v>327</v>
      </c>
      <c r="CI49" s="13">
        <v>0</v>
      </c>
      <c r="CJ49" s="13">
        <v>0</v>
      </c>
      <c r="CK49" s="13">
        <v>0</v>
      </c>
      <c r="CL49" s="13">
        <v>0</v>
      </c>
      <c r="CM49" s="13">
        <v>1</v>
      </c>
      <c r="CN49" s="39">
        <v>45315</v>
      </c>
      <c r="CO49" s="13">
        <v>1</v>
      </c>
      <c r="CP49" s="13">
        <v>0</v>
      </c>
      <c r="CQ49" s="13">
        <v>0</v>
      </c>
      <c r="CS49" s="13">
        <v>0</v>
      </c>
    </row>
    <row r="50" spans="1:97" s="13" customFormat="1">
      <c r="A50" s="68" t="s">
        <v>50</v>
      </c>
      <c r="B50" s="60">
        <v>1</v>
      </c>
      <c r="C50" s="60">
        <v>1</v>
      </c>
      <c r="D50" s="60">
        <v>1</v>
      </c>
      <c r="E50" s="60">
        <v>0</v>
      </c>
      <c r="F50" s="60">
        <v>0</v>
      </c>
      <c r="G50" s="60">
        <v>1</v>
      </c>
      <c r="H50" s="60">
        <v>0</v>
      </c>
      <c r="I50" s="60">
        <v>1</v>
      </c>
      <c r="J50" s="48">
        <v>37</v>
      </c>
      <c r="K50" s="13">
        <v>1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1</v>
      </c>
      <c r="AR50" s="13">
        <v>0</v>
      </c>
      <c r="AS50" s="13">
        <v>1</v>
      </c>
      <c r="AT50" s="13">
        <v>0</v>
      </c>
      <c r="AU50" s="13">
        <v>0</v>
      </c>
      <c r="AV50" s="56">
        <v>1500</v>
      </c>
      <c r="AW50" s="56">
        <v>40</v>
      </c>
      <c r="AX50" s="56"/>
      <c r="AY50" s="56"/>
      <c r="AZ50" s="56"/>
      <c r="BA50" s="56"/>
      <c r="BB50" s="13">
        <v>1</v>
      </c>
      <c r="BC50" s="13">
        <v>1</v>
      </c>
      <c r="BD50" s="13">
        <v>1</v>
      </c>
      <c r="BE50" s="13">
        <v>0</v>
      </c>
      <c r="BF50" s="13">
        <v>1</v>
      </c>
      <c r="BG50" s="13">
        <v>0</v>
      </c>
      <c r="BH50" s="13">
        <v>0</v>
      </c>
      <c r="BI50" s="13">
        <v>1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143</v>
      </c>
      <c r="BT50" s="13">
        <v>298</v>
      </c>
      <c r="BU50" s="57">
        <v>6</v>
      </c>
      <c r="CE50" s="14">
        <v>86</v>
      </c>
      <c r="CF50" s="13">
        <v>6</v>
      </c>
      <c r="CG50" s="13">
        <v>3.1</v>
      </c>
      <c r="CH50" s="13">
        <v>210</v>
      </c>
      <c r="CI50" s="13">
        <v>0</v>
      </c>
      <c r="CJ50" s="13">
        <v>0</v>
      </c>
      <c r="CK50" s="13">
        <v>1</v>
      </c>
      <c r="CL50" s="13">
        <v>0</v>
      </c>
      <c r="CM50" s="13">
        <v>0</v>
      </c>
      <c r="CN50" s="39">
        <v>45377</v>
      </c>
      <c r="CO50" s="13">
        <v>1</v>
      </c>
      <c r="CP50" s="13">
        <v>0</v>
      </c>
      <c r="CQ50" s="13">
        <v>0</v>
      </c>
      <c r="CS50" s="13">
        <v>0</v>
      </c>
    </row>
    <row r="51" spans="1:97">
      <c r="A51" s="9" t="s">
        <v>51</v>
      </c>
      <c r="B51" s="18">
        <v>1</v>
      </c>
      <c r="C51" s="18">
        <v>1</v>
      </c>
      <c r="D51" s="18">
        <v>0</v>
      </c>
      <c r="E51" s="18">
        <v>0</v>
      </c>
      <c r="F51" s="18">
        <v>0</v>
      </c>
      <c r="G51" s="18">
        <v>1</v>
      </c>
      <c r="H51" s="18">
        <v>0</v>
      </c>
      <c r="I51" s="18">
        <v>1</v>
      </c>
      <c r="J51" s="1">
        <v>32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 s="19">
        <v>2800</v>
      </c>
      <c r="AW51" s="19">
        <v>49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190</v>
      </c>
      <c r="BT51">
        <v>321</v>
      </c>
      <c r="BU51" s="54">
        <v>21</v>
      </c>
      <c r="CE51">
        <v>121</v>
      </c>
      <c r="CF51">
        <v>8</v>
      </c>
      <c r="CG51">
        <v>4.0999999999999996</v>
      </c>
      <c r="CH51">
        <v>309</v>
      </c>
      <c r="CN51" s="34">
        <v>45334</v>
      </c>
      <c r="CO51" s="13">
        <v>1</v>
      </c>
      <c r="CP51" s="13">
        <v>0</v>
      </c>
      <c r="CQ51" s="13">
        <v>0</v>
      </c>
      <c r="CS51" s="13">
        <v>0</v>
      </c>
    </row>
    <row r="52" spans="1:97">
      <c r="A52" s="4" t="s">
        <v>52</v>
      </c>
      <c r="B52" s="19">
        <v>1</v>
      </c>
      <c r="C52" s="19">
        <v>1</v>
      </c>
      <c r="D52" s="19">
        <v>1</v>
      </c>
      <c r="E52" s="19">
        <v>0</v>
      </c>
      <c r="F52" s="19">
        <v>0</v>
      </c>
      <c r="G52" s="19">
        <v>1</v>
      </c>
      <c r="H52" s="19">
        <v>0</v>
      </c>
      <c r="I52" s="19">
        <v>1</v>
      </c>
      <c r="J52">
        <v>40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 s="19">
        <v>3220</v>
      </c>
      <c r="AW52" s="19">
        <v>52</v>
      </c>
      <c r="BB52">
        <v>1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202</v>
      </c>
      <c r="BT52">
        <v>188</v>
      </c>
      <c r="BU52" s="54">
        <v>32</v>
      </c>
      <c r="CD52" s="38"/>
      <c r="CE52" s="14">
        <v>95</v>
      </c>
      <c r="CF52">
        <v>6.9</v>
      </c>
      <c r="CG52">
        <v>3.1</v>
      </c>
      <c r="CH52">
        <v>241</v>
      </c>
      <c r="CN52" s="93">
        <v>44621</v>
      </c>
      <c r="CO52">
        <v>0</v>
      </c>
      <c r="CP52">
        <v>1</v>
      </c>
      <c r="CQ52" s="13">
        <v>0</v>
      </c>
      <c r="CR52" s="96">
        <v>45992</v>
      </c>
      <c r="CS52" s="13">
        <v>0</v>
      </c>
    </row>
    <row r="53" spans="1:97" s="13" customFormat="1">
      <c r="A53" s="62" t="s">
        <v>53</v>
      </c>
      <c r="B53" s="56">
        <v>1</v>
      </c>
      <c r="C53" s="56">
        <v>1</v>
      </c>
      <c r="D53" s="56">
        <v>0</v>
      </c>
      <c r="E53" s="56">
        <v>0</v>
      </c>
      <c r="F53" s="56">
        <v>0</v>
      </c>
      <c r="G53" s="56">
        <v>1</v>
      </c>
      <c r="H53" s="56">
        <v>0</v>
      </c>
      <c r="I53" s="56">
        <v>1</v>
      </c>
      <c r="J53" s="13">
        <v>37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1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1</v>
      </c>
      <c r="AP53" s="13">
        <v>0</v>
      </c>
      <c r="AQ53" s="13">
        <v>0</v>
      </c>
      <c r="AR53" s="13">
        <v>0</v>
      </c>
      <c r="AS53" s="13">
        <v>1</v>
      </c>
      <c r="AT53" s="13">
        <v>0</v>
      </c>
      <c r="AU53" s="13">
        <v>0</v>
      </c>
      <c r="AV53" s="56">
        <v>2880</v>
      </c>
      <c r="AW53" s="56">
        <v>46</v>
      </c>
      <c r="AX53" s="56"/>
      <c r="AY53" s="56"/>
      <c r="AZ53" s="56"/>
      <c r="BA53" s="56"/>
      <c r="BB53" s="13">
        <v>1</v>
      </c>
      <c r="BC53" s="13">
        <v>1</v>
      </c>
      <c r="BD53" s="13">
        <v>0</v>
      </c>
      <c r="BE53" s="13">
        <v>1</v>
      </c>
      <c r="BF53" s="13">
        <v>0</v>
      </c>
      <c r="BG53" s="13">
        <v>1</v>
      </c>
      <c r="BH53" s="13">
        <v>0</v>
      </c>
      <c r="BI53" s="13">
        <v>1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1</v>
      </c>
      <c r="BQ53" s="13">
        <v>0</v>
      </c>
      <c r="BR53" s="13">
        <v>0</v>
      </c>
      <c r="BS53" s="13">
        <v>152</v>
      </c>
      <c r="BT53" s="13">
        <v>315</v>
      </c>
      <c r="BU53" s="57">
        <v>20</v>
      </c>
      <c r="CD53" s="37"/>
      <c r="CE53" s="13">
        <v>121</v>
      </c>
      <c r="CF53" s="13">
        <v>10</v>
      </c>
      <c r="CG53" s="13">
        <v>3.7</v>
      </c>
      <c r="CH53" s="13">
        <v>252</v>
      </c>
      <c r="CI53" s="13">
        <v>0</v>
      </c>
      <c r="CJ53" s="13">
        <v>0</v>
      </c>
      <c r="CK53" s="13">
        <v>1</v>
      </c>
      <c r="CL53" s="13">
        <v>0</v>
      </c>
      <c r="CM53" s="13">
        <v>0</v>
      </c>
    </row>
    <row r="54" spans="1:97" s="13" customFormat="1">
      <c r="A54" s="59" t="s">
        <v>54</v>
      </c>
      <c r="B54" s="60">
        <v>1</v>
      </c>
      <c r="C54" s="60">
        <v>0</v>
      </c>
      <c r="D54" s="60">
        <v>1</v>
      </c>
      <c r="E54" s="60">
        <v>0</v>
      </c>
      <c r="F54" s="60">
        <v>0</v>
      </c>
      <c r="G54" s="60">
        <v>1</v>
      </c>
      <c r="H54" s="60">
        <v>1</v>
      </c>
      <c r="I54" s="60">
        <v>0</v>
      </c>
      <c r="J54" s="48">
        <v>35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1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1</v>
      </c>
      <c r="AP54" s="13">
        <v>0</v>
      </c>
      <c r="AQ54" s="13">
        <v>0</v>
      </c>
      <c r="AR54" s="13">
        <v>0</v>
      </c>
      <c r="AS54" s="13">
        <v>1</v>
      </c>
      <c r="AT54" s="13">
        <v>0</v>
      </c>
      <c r="AU54" s="13">
        <v>0</v>
      </c>
      <c r="AV54" s="56">
        <v>2530</v>
      </c>
      <c r="AW54" s="56">
        <v>47</v>
      </c>
      <c r="AX54" s="56"/>
      <c r="AY54" s="56"/>
      <c r="AZ54" s="56"/>
      <c r="BA54" s="56"/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1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1</v>
      </c>
      <c r="BP54" s="13">
        <v>0</v>
      </c>
      <c r="BQ54" s="13">
        <v>0</v>
      </c>
      <c r="BR54" s="13">
        <v>0</v>
      </c>
      <c r="BS54" s="13">
        <v>182</v>
      </c>
      <c r="BT54" s="13">
        <v>320</v>
      </c>
      <c r="BU54" s="57">
        <v>22</v>
      </c>
      <c r="CD54" s="39" t="s">
        <v>294</v>
      </c>
      <c r="CE54" s="13">
        <v>130</v>
      </c>
      <c r="CF54" s="13">
        <v>8.6999999999999993</v>
      </c>
      <c r="CG54" s="13">
        <v>4.3</v>
      </c>
      <c r="CH54" s="13">
        <v>261</v>
      </c>
      <c r="CI54" s="13">
        <v>0</v>
      </c>
      <c r="CJ54" s="13">
        <v>0</v>
      </c>
      <c r="CK54" s="13">
        <v>1</v>
      </c>
      <c r="CL54" s="13">
        <v>0</v>
      </c>
      <c r="CM54" s="13">
        <v>0</v>
      </c>
    </row>
    <row r="55" spans="1:97">
      <c r="A55" s="2" t="s">
        <v>55</v>
      </c>
      <c r="B55" s="19">
        <v>1</v>
      </c>
      <c r="C55" s="19">
        <v>1</v>
      </c>
      <c r="D55" s="19">
        <v>1</v>
      </c>
      <c r="E55" s="19">
        <v>0</v>
      </c>
      <c r="F55" s="19">
        <v>0</v>
      </c>
      <c r="H55" s="19">
        <v>0</v>
      </c>
      <c r="I55" s="19">
        <v>1</v>
      </c>
      <c r="J55">
        <v>31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 s="19">
        <v>3490</v>
      </c>
      <c r="AW55" s="19">
        <v>52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1</v>
      </c>
      <c r="BQ55">
        <v>0</v>
      </c>
      <c r="BR55">
        <v>0</v>
      </c>
      <c r="BS55">
        <v>173</v>
      </c>
      <c r="BT55">
        <v>350</v>
      </c>
      <c r="BU55" s="54">
        <v>21</v>
      </c>
      <c r="CD55" s="35" t="s">
        <v>294</v>
      </c>
      <c r="CE55">
        <v>119</v>
      </c>
      <c r="CF55">
        <v>9.1999999999999993</v>
      </c>
      <c r="CG55">
        <v>4.5</v>
      </c>
      <c r="CH55">
        <v>362</v>
      </c>
    </row>
    <row r="56" spans="1:97" s="13" customFormat="1">
      <c r="A56" s="55" t="s">
        <v>56</v>
      </c>
      <c r="B56" s="56">
        <v>1</v>
      </c>
      <c r="C56" s="56">
        <v>0</v>
      </c>
      <c r="D56" s="56">
        <v>0</v>
      </c>
      <c r="E56" s="56">
        <v>0</v>
      </c>
      <c r="F56" s="56">
        <v>1</v>
      </c>
      <c r="G56" s="56">
        <v>0</v>
      </c>
      <c r="H56" s="56">
        <v>1</v>
      </c>
      <c r="I56" s="56">
        <v>0</v>
      </c>
      <c r="J56" s="13">
        <v>22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1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1</v>
      </c>
      <c r="AP56" s="13">
        <v>0</v>
      </c>
      <c r="AQ56" s="13">
        <v>0</v>
      </c>
      <c r="AR56" s="13">
        <v>0</v>
      </c>
      <c r="AS56" s="13">
        <v>1</v>
      </c>
      <c r="AT56" s="13">
        <v>0</v>
      </c>
      <c r="AU56" s="13">
        <v>0</v>
      </c>
      <c r="AV56" s="56">
        <v>2290</v>
      </c>
      <c r="AW56" s="56">
        <v>43</v>
      </c>
      <c r="AX56" s="56"/>
      <c r="AY56" s="56"/>
      <c r="AZ56" s="56"/>
      <c r="BA56" s="56"/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1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1</v>
      </c>
      <c r="BQ56" s="13">
        <v>0</v>
      </c>
      <c r="BR56" s="13">
        <v>0</v>
      </c>
      <c r="BS56" s="13">
        <v>157</v>
      </c>
      <c r="BT56" s="13">
        <v>251</v>
      </c>
      <c r="BU56" s="57">
        <v>14</v>
      </c>
      <c r="CD56" s="37"/>
      <c r="CE56" s="13">
        <v>104</v>
      </c>
      <c r="CF56" s="13">
        <v>9.1</v>
      </c>
      <c r="CG56" s="13">
        <v>3.7</v>
      </c>
      <c r="CH56" s="13">
        <v>292</v>
      </c>
      <c r="CI56" s="13">
        <v>0</v>
      </c>
      <c r="CJ56" s="13">
        <v>0</v>
      </c>
      <c r="CK56" s="13">
        <v>1</v>
      </c>
      <c r="CL56" s="13">
        <v>0</v>
      </c>
      <c r="CM56" s="13">
        <v>0</v>
      </c>
    </row>
    <row r="57" spans="1:97" s="13" customFormat="1">
      <c r="A57" s="69" t="s">
        <v>57</v>
      </c>
      <c r="B57" s="70">
        <v>1</v>
      </c>
      <c r="C57" s="70">
        <v>1</v>
      </c>
      <c r="D57" s="70">
        <v>0</v>
      </c>
      <c r="E57" s="70">
        <v>1</v>
      </c>
      <c r="F57" s="70">
        <v>0</v>
      </c>
      <c r="G57" s="70">
        <v>1</v>
      </c>
      <c r="H57" s="70">
        <v>0</v>
      </c>
      <c r="I57" s="70">
        <v>1</v>
      </c>
      <c r="J57" s="71">
        <v>31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1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1</v>
      </c>
      <c r="AR57" s="13">
        <v>0</v>
      </c>
      <c r="AS57" s="13">
        <v>1</v>
      </c>
      <c r="AT57" s="13">
        <v>0</v>
      </c>
      <c r="AU57" s="13">
        <v>0</v>
      </c>
      <c r="AV57" s="56">
        <v>1500</v>
      </c>
      <c r="AW57" s="56">
        <v>39</v>
      </c>
      <c r="AX57" s="56">
        <v>1400</v>
      </c>
      <c r="AY57" s="56">
        <v>39</v>
      </c>
      <c r="AZ57" s="56"/>
      <c r="BA57" s="56"/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1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178</v>
      </c>
      <c r="BT57" s="13">
        <v>255</v>
      </c>
      <c r="BU57" s="57">
        <v>12</v>
      </c>
      <c r="BV57" s="13">
        <v>103</v>
      </c>
      <c r="BW57" s="13">
        <v>238</v>
      </c>
      <c r="BX57" s="13">
        <v>9</v>
      </c>
      <c r="CD57" s="72">
        <v>44774</v>
      </c>
      <c r="CE57" s="14">
        <v>78</v>
      </c>
      <c r="CF57" s="13">
        <v>9.6999999999999993</v>
      </c>
      <c r="CG57" s="13">
        <v>2.7</v>
      </c>
      <c r="CH57" s="13">
        <v>194</v>
      </c>
      <c r="CI57" s="13">
        <v>0</v>
      </c>
      <c r="CJ57" s="13">
        <v>0</v>
      </c>
      <c r="CK57" s="13">
        <v>1</v>
      </c>
      <c r="CL57" s="13">
        <v>0</v>
      </c>
      <c r="CM57" s="13">
        <v>0</v>
      </c>
    </row>
    <row r="58" spans="1:97">
      <c r="A58" s="7" t="s">
        <v>58</v>
      </c>
      <c r="B58" s="7">
        <v>1</v>
      </c>
      <c r="C58" s="7">
        <v>0</v>
      </c>
      <c r="D58" s="7">
        <v>0</v>
      </c>
      <c r="E58" s="7">
        <v>0</v>
      </c>
      <c r="F58" s="7">
        <v>1</v>
      </c>
      <c r="G58" s="7">
        <v>0</v>
      </c>
      <c r="H58" s="7">
        <v>1</v>
      </c>
      <c r="I58" s="7">
        <v>0</v>
      </c>
      <c r="J58" s="8">
        <v>28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 s="19">
        <v>2860</v>
      </c>
      <c r="AW58" s="19">
        <v>52</v>
      </c>
      <c r="BB58">
        <v>1</v>
      </c>
      <c r="BC58">
        <v>1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195</v>
      </c>
      <c r="BT58">
        <v>253</v>
      </c>
      <c r="BU58" s="54">
        <v>30</v>
      </c>
      <c r="CD58" s="8"/>
      <c r="CE58">
        <v>120</v>
      </c>
      <c r="CF58">
        <v>7.3</v>
      </c>
      <c r="CG58">
        <v>4</v>
      </c>
      <c r="CH58">
        <v>311</v>
      </c>
    </row>
    <row r="59" spans="1:97">
      <c r="A59" s="2" t="s">
        <v>59</v>
      </c>
      <c r="B59" s="19">
        <v>2</v>
      </c>
      <c r="C59" s="19">
        <v>0</v>
      </c>
      <c r="D59" s="19">
        <v>0</v>
      </c>
      <c r="E59" s="19">
        <v>0</v>
      </c>
      <c r="F59" s="19">
        <v>1</v>
      </c>
      <c r="G59" s="19">
        <v>0</v>
      </c>
      <c r="H59" s="19">
        <v>1</v>
      </c>
      <c r="I59" s="19">
        <v>0</v>
      </c>
      <c r="J59">
        <v>33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CD59" s="78">
        <v>44013</v>
      </c>
    </row>
    <row r="60" spans="1:97">
      <c r="A60" s="2" t="s">
        <v>60</v>
      </c>
      <c r="B60" s="19">
        <v>2</v>
      </c>
      <c r="C60" s="19">
        <v>1</v>
      </c>
      <c r="D60" s="19">
        <v>0</v>
      </c>
      <c r="E60" s="19">
        <v>0</v>
      </c>
      <c r="F60" s="19">
        <v>0</v>
      </c>
      <c r="G60" s="19">
        <v>1</v>
      </c>
      <c r="H60" s="19">
        <v>0</v>
      </c>
      <c r="I60" s="19">
        <v>1</v>
      </c>
      <c r="J60">
        <v>42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 s="19">
        <v>3200</v>
      </c>
      <c r="AW60" s="19">
        <v>50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CD60" s="15" t="s">
        <v>294</v>
      </c>
      <c r="CE60">
        <v>110</v>
      </c>
      <c r="CF60">
        <v>9.1999999999999993</v>
      </c>
      <c r="CG60">
        <v>3.1</v>
      </c>
      <c r="CH60">
        <v>184</v>
      </c>
    </row>
    <row r="61" spans="1:97">
      <c r="A61" s="3" t="s">
        <v>61</v>
      </c>
      <c r="B61" s="18">
        <v>1</v>
      </c>
      <c r="C61" s="18">
        <v>1</v>
      </c>
      <c r="D61" s="18">
        <v>0</v>
      </c>
      <c r="E61" s="18">
        <v>1</v>
      </c>
      <c r="F61" s="18">
        <v>0</v>
      </c>
      <c r="G61" s="18">
        <v>1</v>
      </c>
      <c r="H61" s="18">
        <v>0</v>
      </c>
      <c r="I61" s="18">
        <v>1</v>
      </c>
      <c r="J61" s="1">
        <v>39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 s="19">
        <v>2660</v>
      </c>
      <c r="AW61" s="19">
        <v>47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158</v>
      </c>
      <c r="BT61">
        <v>322</v>
      </c>
      <c r="BU61" s="54">
        <v>15</v>
      </c>
      <c r="CD61" s="1"/>
      <c r="CE61">
        <v>110</v>
      </c>
      <c r="CF61">
        <v>10.199999999999999</v>
      </c>
      <c r="CG61">
        <v>3.2</v>
      </c>
      <c r="CH61">
        <v>224</v>
      </c>
    </row>
    <row r="62" spans="1:97" s="13" customFormat="1">
      <c r="A62" s="59" t="s">
        <v>62</v>
      </c>
      <c r="B62" s="60">
        <v>1</v>
      </c>
      <c r="C62" s="60">
        <v>1</v>
      </c>
      <c r="D62" s="60">
        <v>0</v>
      </c>
      <c r="E62" s="60">
        <v>0</v>
      </c>
      <c r="F62" s="60">
        <v>0</v>
      </c>
      <c r="G62" s="60">
        <v>1</v>
      </c>
      <c r="H62" s="60">
        <v>0</v>
      </c>
      <c r="I62" s="60">
        <v>1</v>
      </c>
      <c r="J62" s="48">
        <v>31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1</v>
      </c>
      <c r="U62" s="13">
        <v>1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1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1</v>
      </c>
      <c r="AP62" s="13">
        <v>0</v>
      </c>
      <c r="AQ62" s="13">
        <v>0</v>
      </c>
      <c r="AR62" s="13">
        <v>0</v>
      </c>
      <c r="AS62" s="13">
        <v>1</v>
      </c>
      <c r="AT62" s="13">
        <v>0</v>
      </c>
      <c r="AU62" s="13">
        <v>0</v>
      </c>
      <c r="AV62" s="56">
        <v>2460</v>
      </c>
      <c r="AW62" s="56">
        <v>45</v>
      </c>
      <c r="AX62" s="56"/>
      <c r="AY62" s="56"/>
      <c r="AZ62" s="56"/>
      <c r="BA62" s="56"/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1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159</v>
      </c>
      <c r="BT62" s="13">
        <v>263</v>
      </c>
      <c r="BU62" s="57">
        <v>21</v>
      </c>
      <c r="CD62" s="47"/>
      <c r="CE62" s="13">
        <v>108</v>
      </c>
      <c r="CF62" s="13">
        <v>11.5</v>
      </c>
      <c r="CG62" s="13">
        <v>3.7</v>
      </c>
      <c r="CH62" s="13">
        <v>261</v>
      </c>
      <c r="CI62" s="13">
        <v>0</v>
      </c>
      <c r="CJ62" s="13">
        <v>0</v>
      </c>
      <c r="CK62" s="13">
        <v>1</v>
      </c>
      <c r="CL62" s="13">
        <v>0</v>
      </c>
      <c r="CM62" s="13">
        <v>0</v>
      </c>
    </row>
    <row r="63" spans="1:97">
      <c r="A63" s="7" t="s">
        <v>63</v>
      </c>
      <c r="B63" s="7">
        <v>1</v>
      </c>
      <c r="C63" s="7">
        <v>1</v>
      </c>
      <c r="D63" s="7">
        <v>0</v>
      </c>
      <c r="E63" s="7">
        <v>1</v>
      </c>
      <c r="F63" s="7">
        <v>0</v>
      </c>
      <c r="G63" s="7">
        <v>1</v>
      </c>
      <c r="H63" s="7">
        <v>0</v>
      </c>
      <c r="I63" s="7">
        <v>1</v>
      </c>
      <c r="J63" s="8">
        <v>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 s="19">
        <v>3060</v>
      </c>
      <c r="AW63" s="19">
        <v>50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195</v>
      </c>
      <c r="BT63">
        <v>201</v>
      </c>
      <c r="BU63" s="54">
        <v>23</v>
      </c>
      <c r="CD63" s="8"/>
      <c r="CE63">
        <v>110</v>
      </c>
      <c r="CF63">
        <v>10</v>
      </c>
      <c r="CG63">
        <v>3.8</v>
      </c>
      <c r="CH63">
        <v>292</v>
      </c>
    </row>
    <row r="64" spans="1:97">
      <c r="A64" s="3" t="s">
        <v>64</v>
      </c>
      <c r="B64" s="18">
        <v>1</v>
      </c>
      <c r="C64" s="18">
        <v>1</v>
      </c>
      <c r="D64" s="18">
        <v>0</v>
      </c>
      <c r="E64" s="18">
        <v>0</v>
      </c>
      <c r="F64" s="18">
        <v>0</v>
      </c>
      <c r="G64" s="18">
        <v>1</v>
      </c>
      <c r="H64" s="18">
        <v>0</v>
      </c>
      <c r="I64" s="18">
        <v>1</v>
      </c>
      <c r="J64" s="1">
        <v>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 s="19">
        <v>2660</v>
      </c>
      <c r="AW64" s="19">
        <v>51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0</v>
      </c>
      <c r="BS64" s="1">
        <v>244</v>
      </c>
      <c r="BT64" s="1">
        <v>277</v>
      </c>
      <c r="BU64" s="53">
        <v>22</v>
      </c>
      <c r="CD64" s="1"/>
      <c r="CE64">
        <v>107</v>
      </c>
      <c r="CF64">
        <v>7.2</v>
      </c>
      <c r="CG64">
        <v>4.0999999999999996</v>
      </c>
      <c r="CH64">
        <v>157</v>
      </c>
    </row>
    <row r="65" spans="1:91">
      <c r="A65" s="9" t="s">
        <v>65</v>
      </c>
      <c r="B65" s="18">
        <v>1</v>
      </c>
      <c r="C65" s="18">
        <v>1</v>
      </c>
      <c r="D65" s="18">
        <v>0</v>
      </c>
      <c r="E65" s="18">
        <v>0</v>
      </c>
      <c r="F65" s="18">
        <v>0</v>
      </c>
      <c r="G65" s="18">
        <v>1</v>
      </c>
      <c r="H65" s="18">
        <v>0</v>
      </c>
      <c r="I65" s="18">
        <v>1</v>
      </c>
      <c r="J65" s="1">
        <v>28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 s="19">
        <v>2660</v>
      </c>
      <c r="AW65" s="19">
        <v>47</v>
      </c>
      <c r="BB65">
        <v>1</v>
      </c>
      <c r="BC65">
        <v>1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0</v>
      </c>
      <c r="BS65" s="1">
        <v>153</v>
      </c>
      <c r="BT65" s="1">
        <v>363</v>
      </c>
      <c r="BU65" s="53">
        <v>11</v>
      </c>
      <c r="CD65" s="1"/>
      <c r="CE65" s="14">
        <v>82</v>
      </c>
      <c r="CF65">
        <v>3.7</v>
      </c>
      <c r="CG65">
        <v>2.2999999999999998</v>
      </c>
      <c r="CH65">
        <v>163</v>
      </c>
    </row>
    <row r="66" spans="1:91">
      <c r="A66" s="9" t="s">
        <v>66</v>
      </c>
      <c r="B66" s="18">
        <v>1</v>
      </c>
      <c r="C66" s="18">
        <v>1</v>
      </c>
      <c r="D66" s="18">
        <v>0</v>
      </c>
      <c r="E66" s="18">
        <v>0</v>
      </c>
      <c r="F66" s="18">
        <v>0</v>
      </c>
      <c r="G66" s="18">
        <v>1</v>
      </c>
      <c r="H66" s="18">
        <v>0</v>
      </c>
      <c r="I66" s="18">
        <v>1</v>
      </c>
      <c r="J66" s="1">
        <v>40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 s="19">
        <v>3140</v>
      </c>
      <c r="AW66" s="19">
        <v>50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 s="1">
        <v>210</v>
      </c>
      <c r="BT66" s="1">
        <v>263</v>
      </c>
      <c r="BU66" s="53">
        <v>20</v>
      </c>
      <c r="CD66" s="1"/>
      <c r="CE66">
        <v>139</v>
      </c>
      <c r="CF66">
        <v>11.8</v>
      </c>
      <c r="CG66">
        <v>4.8</v>
      </c>
      <c r="CH66">
        <v>232</v>
      </c>
    </row>
    <row r="67" spans="1:91" s="13" customFormat="1">
      <c r="A67" s="68" t="s">
        <v>67</v>
      </c>
      <c r="B67" s="60">
        <v>1</v>
      </c>
      <c r="C67" s="60">
        <v>0</v>
      </c>
      <c r="D67" s="60">
        <v>0</v>
      </c>
      <c r="E67" s="60">
        <v>0</v>
      </c>
      <c r="F67" s="60">
        <v>1</v>
      </c>
      <c r="G67" s="60">
        <v>0</v>
      </c>
      <c r="H67" s="60">
        <v>1</v>
      </c>
      <c r="I67" s="60">
        <v>0</v>
      </c>
      <c r="J67" s="48">
        <v>39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1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1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1</v>
      </c>
      <c r="AR67" s="13">
        <v>0</v>
      </c>
      <c r="AS67" s="13">
        <v>1</v>
      </c>
      <c r="AT67" s="13">
        <v>0</v>
      </c>
      <c r="AU67" s="13">
        <v>0</v>
      </c>
      <c r="AV67" s="56">
        <v>1175</v>
      </c>
      <c r="AW67" s="56">
        <v>40</v>
      </c>
      <c r="AX67" s="56"/>
      <c r="AY67" s="56"/>
      <c r="AZ67" s="56"/>
      <c r="BA67" s="56"/>
      <c r="BB67" s="13">
        <v>1</v>
      </c>
      <c r="BC67" s="13">
        <v>1</v>
      </c>
      <c r="BD67" s="13">
        <v>1</v>
      </c>
      <c r="BE67" s="13">
        <v>0</v>
      </c>
      <c r="BF67" s="13">
        <v>0</v>
      </c>
      <c r="BG67" s="13">
        <v>0</v>
      </c>
      <c r="BH67" s="13">
        <v>1</v>
      </c>
      <c r="BI67" s="13">
        <v>1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48">
        <v>143</v>
      </c>
      <c r="BT67" s="48">
        <v>258</v>
      </c>
      <c r="BU67" s="67">
        <v>9</v>
      </c>
      <c r="CD67" s="48"/>
      <c r="CE67" s="14">
        <v>81</v>
      </c>
      <c r="CF67" s="13">
        <v>9.1</v>
      </c>
      <c r="CG67" s="13">
        <v>2.5</v>
      </c>
      <c r="CH67" s="13">
        <v>407</v>
      </c>
      <c r="CI67" s="13">
        <v>0</v>
      </c>
      <c r="CJ67" s="13">
        <v>0</v>
      </c>
      <c r="CK67" s="13">
        <v>1</v>
      </c>
      <c r="CL67" s="13">
        <v>0</v>
      </c>
      <c r="CM67" s="13">
        <v>0</v>
      </c>
    </row>
    <row r="68" spans="1:91">
      <c r="A68" s="3" t="s">
        <v>68</v>
      </c>
      <c r="B68" s="18">
        <v>1</v>
      </c>
      <c r="C68" s="18">
        <v>1</v>
      </c>
      <c r="D68" s="18">
        <v>0</v>
      </c>
      <c r="E68" s="18">
        <v>1</v>
      </c>
      <c r="F68" s="18">
        <v>0</v>
      </c>
      <c r="G68" s="18">
        <v>1</v>
      </c>
      <c r="H68" s="18">
        <v>0</v>
      </c>
      <c r="I68" s="18">
        <v>1</v>
      </c>
      <c r="J68" s="1">
        <v>26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 s="19">
        <v>3860</v>
      </c>
      <c r="AW68" s="19">
        <v>53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 s="1">
        <v>128</v>
      </c>
      <c r="BT68" s="1">
        <v>195</v>
      </c>
      <c r="BU68" s="53">
        <v>10</v>
      </c>
      <c r="CE68">
        <v>125</v>
      </c>
      <c r="CF68">
        <v>14.5</v>
      </c>
      <c r="CG68">
        <v>3.8</v>
      </c>
      <c r="CH68">
        <v>207</v>
      </c>
    </row>
    <row r="69" spans="1:91">
      <c r="A69" s="2" t="s">
        <v>69</v>
      </c>
      <c r="B69" s="19">
        <v>1</v>
      </c>
      <c r="C69" s="19">
        <v>0</v>
      </c>
      <c r="D69" s="19">
        <v>1</v>
      </c>
      <c r="E69" s="19">
        <v>1</v>
      </c>
      <c r="F69" s="19">
        <v>0</v>
      </c>
      <c r="G69" s="19">
        <v>1</v>
      </c>
      <c r="H69" s="19">
        <v>1</v>
      </c>
      <c r="I69" s="19">
        <v>0</v>
      </c>
      <c r="J69">
        <v>32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 s="19">
        <v>3620</v>
      </c>
      <c r="AW69" s="19">
        <v>52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 s="1">
        <v>209</v>
      </c>
      <c r="BT69" s="1">
        <v>238</v>
      </c>
      <c r="BU69" s="53">
        <v>13</v>
      </c>
      <c r="CE69" s="14">
        <v>99</v>
      </c>
      <c r="CF69">
        <v>22.6</v>
      </c>
      <c r="CG69">
        <v>3.3</v>
      </c>
      <c r="CH69">
        <v>224</v>
      </c>
    </row>
    <row r="70" spans="1:91">
      <c r="A70" s="3" t="s">
        <v>70</v>
      </c>
      <c r="B70" s="18">
        <v>1</v>
      </c>
      <c r="C70" s="18">
        <v>0</v>
      </c>
      <c r="D70" s="18">
        <v>0</v>
      </c>
      <c r="E70" s="18">
        <v>1</v>
      </c>
      <c r="F70" s="18">
        <v>0</v>
      </c>
      <c r="G70" s="18">
        <v>1</v>
      </c>
      <c r="H70" s="18">
        <v>1</v>
      </c>
      <c r="I70" s="18">
        <v>0</v>
      </c>
      <c r="J70" s="1">
        <v>34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 s="19">
        <v>2960</v>
      </c>
      <c r="AW70" s="19">
        <v>49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 s="1">
        <v>186</v>
      </c>
      <c r="BT70" s="1">
        <v>230</v>
      </c>
      <c r="BU70" s="53">
        <v>24</v>
      </c>
      <c r="CE70">
        <v>112</v>
      </c>
      <c r="CF70">
        <v>14.3</v>
      </c>
      <c r="CG70">
        <v>3.5</v>
      </c>
      <c r="CH70">
        <v>192</v>
      </c>
    </row>
    <row r="71" spans="1:91">
      <c r="A71" s="3" t="s">
        <v>71</v>
      </c>
      <c r="B71" s="18">
        <v>1</v>
      </c>
      <c r="C71" s="18">
        <v>1</v>
      </c>
      <c r="D71" s="18">
        <v>0</v>
      </c>
      <c r="E71" s="18">
        <v>0</v>
      </c>
      <c r="F71" s="18">
        <v>0</v>
      </c>
      <c r="G71" s="18">
        <v>1</v>
      </c>
      <c r="H71" s="18">
        <v>0</v>
      </c>
      <c r="I71" s="18">
        <v>1</v>
      </c>
      <c r="J71" s="1">
        <v>34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 s="19">
        <v>3650</v>
      </c>
      <c r="AW71" s="19">
        <v>53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CE71">
        <v>141</v>
      </c>
      <c r="CF71">
        <v>12.6</v>
      </c>
      <c r="CG71">
        <v>4.4000000000000004</v>
      </c>
      <c r="CH71">
        <v>144</v>
      </c>
    </row>
    <row r="72" spans="1:91">
      <c r="A72" s="3" t="s">
        <v>72</v>
      </c>
      <c r="B72" s="18">
        <v>1</v>
      </c>
      <c r="C72" s="18">
        <v>0</v>
      </c>
      <c r="D72" s="18">
        <v>1</v>
      </c>
      <c r="E72" s="18">
        <v>0</v>
      </c>
      <c r="F72" s="18">
        <v>0</v>
      </c>
      <c r="G72" s="18">
        <v>1</v>
      </c>
      <c r="H72" s="18">
        <v>1</v>
      </c>
      <c r="I72" s="18">
        <v>0</v>
      </c>
      <c r="J72" s="1">
        <v>40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 s="19">
        <v>3820</v>
      </c>
      <c r="AW72" s="19">
        <v>54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223</v>
      </c>
      <c r="BT72">
        <v>288</v>
      </c>
      <c r="BU72" s="54">
        <v>23</v>
      </c>
      <c r="CE72">
        <v>133</v>
      </c>
      <c r="CF72">
        <v>11.4</v>
      </c>
      <c r="CG72">
        <v>4.3</v>
      </c>
      <c r="CH72">
        <v>350</v>
      </c>
    </row>
    <row r="73" spans="1:91">
      <c r="A73" s="3" t="s">
        <v>73</v>
      </c>
      <c r="B73" s="18">
        <v>1</v>
      </c>
      <c r="C73" s="18">
        <v>0</v>
      </c>
      <c r="D73" s="18">
        <v>0</v>
      </c>
      <c r="E73" s="18">
        <v>0</v>
      </c>
      <c r="F73" s="18">
        <v>1</v>
      </c>
      <c r="G73" s="18">
        <v>0</v>
      </c>
      <c r="H73" s="18">
        <v>1</v>
      </c>
      <c r="I73" s="18">
        <v>0</v>
      </c>
      <c r="J73" s="1">
        <v>26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 s="19">
        <v>3290</v>
      </c>
      <c r="AW73" s="19">
        <v>52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235</v>
      </c>
      <c r="BT73">
        <v>254</v>
      </c>
      <c r="BU73" s="54">
        <v>27</v>
      </c>
      <c r="CE73" s="14">
        <v>84</v>
      </c>
      <c r="CF73">
        <v>11.2</v>
      </c>
      <c r="CG73">
        <v>2.8</v>
      </c>
      <c r="CH73">
        <v>354</v>
      </c>
    </row>
    <row r="74" spans="1:91">
      <c r="A74" s="2" t="s">
        <v>74</v>
      </c>
      <c r="B74" s="18">
        <v>1</v>
      </c>
      <c r="C74" s="18">
        <v>1</v>
      </c>
      <c r="D74" s="18">
        <v>0</v>
      </c>
      <c r="E74" s="18">
        <v>1</v>
      </c>
      <c r="F74" s="18">
        <v>0</v>
      </c>
      <c r="G74" s="18">
        <v>1</v>
      </c>
      <c r="H74" s="18">
        <v>0</v>
      </c>
      <c r="I74" s="18">
        <v>1</v>
      </c>
      <c r="J74">
        <v>40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 s="19">
        <v>2710</v>
      </c>
      <c r="AW74" s="19">
        <v>49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202</v>
      </c>
      <c r="BT74">
        <v>150</v>
      </c>
      <c r="BU74" s="54">
        <v>42</v>
      </c>
      <c r="CE74">
        <v>122</v>
      </c>
      <c r="CF74">
        <v>8.6999999999999993</v>
      </c>
      <c r="CG74">
        <v>3.7</v>
      </c>
      <c r="CH74">
        <v>258</v>
      </c>
    </row>
    <row r="75" spans="1:91" s="97" customFormat="1">
      <c r="A75" s="98" t="s">
        <v>75</v>
      </c>
      <c r="B75" s="99">
        <v>1</v>
      </c>
      <c r="C75" s="99">
        <v>0</v>
      </c>
      <c r="D75" s="99">
        <v>0</v>
      </c>
      <c r="E75" s="99">
        <v>0</v>
      </c>
      <c r="F75" s="99">
        <v>1</v>
      </c>
      <c r="G75" s="99">
        <v>0</v>
      </c>
      <c r="H75" s="99">
        <v>1</v>
      </c>
      <c r="I75" s="99">
        <v>0</v>
      </c>
      <c r="J75" s="100">
        <v>25</v>
      </c>
      <c r="K75" s="97">
        <v>0</v>
      </c>
      <c r="L75" s="97">
        <v>0</v>
      </c>
      <c r="M75" s="97">
        <v>0</v>
      </c>
      <c r="N75" s="97">
        <v>1</v>
      </c>
      <c r="O75" s="97">
        <v>0</v>
      </c>
      <c r="P75" s="97">
        <v>0</v>
      </c>
      <c r="Q75" s="97">
        <v>0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0</v>
      </c>
      <c r="Z75" s="97">
        <v>0</v>
      </c>
      <c r="AA75" s="97">
        <v>0</v>
      </c>
      <c r="AB75" s="97">
        <v>0</v>
      </c>
      <c r="AC75" s="97">
        <v>0</v>
      </c>
      <c r="AD75" s="97">
        <v>0</v>
      </c>
      <c r="AE75" s="97">
        <v>0</v>
      </c>
      <c r="AF75" s="97">
        <v>0</v>
      </c>
      <c r="AG75" s="97">
        <v>0</v>
      </c>
      <c r="AH75" s="97">
        <v>0</v>
      </c>
      <c r="AI75" s="97">
        <v>1</v>
      </c>
      <c r="AJ75" s="97">
        <v>0</v>
      </c>
      <c r="AK75" s="97">
        <v>0</v>
      </c>
      <c r="AL75" s="97">
        <v>0</v>
      </c>
      <c r="AM75" s="97">
        <v>0</v>
      </c>
      <c r="AN75" s="97">
        <v>1</v>
      </c>
      <c r="AO75" s="97">
        <v>0</v>
      </c>
      <c r="AP75" s="97">
        <v>0</v>
      </c>
      <c r="AQ75" s="97">
        <v>0</v>
      </c>
      <c r="AR75" s="97">
        <v>0</v>
      </c>
      <c r="AS75" s="97">
        <v>0</v>
      </c>
      <c r="AT75" s="97">
        <v>1</v>
      </c>
      <c r="AU75" s="97">
        <v>0</v>
      </c>
      <c r="AV75" s="101">
        <v>3570</v>
      </c>
      <c r="AW75" s="101">
        <v>53</v>
      </c>
      <c r="AX75" s="101"/>
      <c r="AY75" s="101"/>
      <c r="AZ75" s="101"/>
      <c r="BA75" s="101"/>
      <c r="BB75" s="97">
        <v>1</v>
      </c>
      <c r="BC75" s="97">
        <v>0</v>
      </c>
      <c r="BD75" s="97">
        <v>0</v>
      </c>
      <c r="BE75" s="97">
        <v>0</v>
      </c>
      <c r="BF75" s="97">
        <v>0</v>
      </c>
      <c r="BG75" s="97">
        <v>0</v>
      </c>
      <c r="BH75" s="97">
        <v>0</v>
      </c>
      <c r="BI75" s="97">
        <v>0</v>
      </c>
      <c r="BJ75" s="97">
        <v>0</v>
      </c>
      <c r="BK75" s="97">
        <v>0</v>
      </c>
      <c r="BL75" s="97">
        <v>0</v>
      </c>
      <c r="BM75" s="97">
        <v>0</v>
      </c>
      <c r="BN75" s="97">
        <v>0</v>
      </c>
      <c r="BO75" s="97">
        <v>0</v>
      </c>
      <c r="BP75" s="97">
        <v>0</v>
      </c>
      <c r="BQ75" s="97">
        <v>0</v>
      </c>
      <c r="BR75" s="97">
        <v>0</v>
      </c>
      <c r="BS75" s="97">
        <v>184</v>
      </c>
      <c r="BT75" s="97">
        <v>250</v>
      </c>
      <c r="BU75" s="102">
        <v>22</v>
      </c>
      <c r="CE75" s="97">
        <v>94</v>
      </c>
      <c r="CF75" s="97">
        <v>14.1</v>
      </c>
      <c r="CG75" s="97">
        <v>3.2</v>
      </c>
      <c r="CH75" s="97">
        <v>410</v>
      </c>
    </row>
    <row r="76" spans="1:91">
      <c r="A76" s="3" t="s">
        <v>76</v>
      </c>
      <c r="B76" s="18">
        <v>2</v>
      </c>
      <c r="C76" s="18">
        <v>1</v>
      </c>
      <c r="D76" s="18">
        <v>1</v>
      </c>
      <c r="E76" s="18">
        <v>0</v>
      </c>
      <c r="F76" s="18">
        <v>0</v>
      </c>
      <c r="G76" s="18">
        <v>1</v>
      </c>
      <c r="H76" s="18">
        <v>0</v>
      </c>
      <c r="I76" s="18">
        <v>1</v>
      </c>
      <c r="J76" s="1">
        <v>34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 s="12">
        <v>2270</v>
      </c>
      <c r="AW76" s="19">
        <v>47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194</v>
      </c>
      <c r="BT76">
        <v>395</v>
      </c>
      <c r="BU76" s="54">
        <v>21</v>
      </c>
      <c r="CE76" s="14">
        <v>94</v>
      </c>
      <c r="CF76">
        <v>9.6</v>
      </c>
      <c r="CG76">
        <v>4</v>
      </c>
      <c r="CH76">
        <v>390</v>
      </c>
    </row>
    <row r="77" spans="1:91">
      <c r="A77" s="3" t="s">
        <v>77</v>
      </c>
      <c r="B77" s="18">
        <v>2</v>
      </c>
      <c r="C77" s="18">
        <v>1</v>
      </c>
      <c r="D77" s="18">
        <v>0</v>
      </c>
      <c r="E77" s="18">
        <v>0</v>
      </c>
      <c r="F77" s="18">
        <v>0</v>
      </c>
      <c r="G77" s="18">
        <v>1</v>
      </c>
      <c r="H77" s="18">
        <v>0</v>
      </c>
      <c r="I77" s="18">
        <v>1</v>
      </c>
      <c r="J77" s="1">
        <v>32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 s="12">
        <v>3970</v>
      </c>
      <c r="AW77" s="19">
        <v>52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195</v>
      </c>
      <c r="BT77">
        <v>319</v>
      </c>
      <c r="BU77" s="54">
        <v>23</v>
      </c>
      <c r="CE77">
        <v>111</v>
      </c>
      <c r="CF77">
        <v>6.4</v>
      </c>
      <c r="CG77">
        <v>3.6</v>
      </c>
      <c r="CH77">
        <v>163</v>
      </c>
    </row>
    <row r="78" spans="1:91">
      <c r="A78" s="3" t="s">
        <v>78</v>
      </c>
      <c r="B78" s="18">
        <v>2</v>
      </c>
      <c r="C78" s="18">
        <v>0</v>
      </c>
      <c r="D78" s="18">
        <v>0</v>
      </c>
      <c r="E78" s="18">
        <v>1</v>
      </c>
      <c r="F78" s="18">
        <v>0</v>
      </c>
      <c r="G78" s="18">
        <v>1</v>
      </c>
      <c r="H78" s="18">
        <v>1</v>
      </c>
      <c r="I78" s="18">
        <v>0</v>
      </c>
      <c r="J78" s="1">
        <v>28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 s="12">
        <v>3450</v>
      </c>
      <c r="AW78" s="19">
        <v>52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1</v>
      </c>
      <c r="BP78">
        <v>1</v>
      </c>
      <c r="BQ78">
        <v>0</v>
      </c>
      <c r="BR78">
        <v>0</v>
      </c>
      <c r="BS78">
        <v>173</v>
      </c>
      <c r="BT78">
        <v>302</v>
      </c>
      <c r="BU78" s="54">
        <v>20</v>
      </c>
      <c r="CE78" s="14">
        <v>89</v>
      </c>
      <c r="CF78">
        <v>16.399999999999999</v>
      </c>
      <c r="CG78">
        <v>2.7</v>
      </c>
      <c r="CH78">
        <v>173</v>
      </c>
    </row>
    <row r="79" spans="1:91">
      <c r="A79" s="3" t="s">
        <v>79</v>
      </c>
      <c r="B79" s="18">
        <v>2</v>
      </c>
      <c r="C79" s="18">
        <v>0</v>
      </c>
      <c r="D79" s="18">
        <v>1</v>
      </c>
      <c r="E79" s="18">
        <v>0</v>
      </c>
      <c r="F79" s="18">
        <v>0</v>
      </c>
      <c r="G79" s="18">
        <v>1</v>
      </c>
      <c r="H79" s="18">
        <v>1</v>
      </c>
      <c r="I79" s="18">
        <v>0</v>
      </c>
      <c r="J79" s="1">
        <v>26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 s="18">
        <v>3460</v>
      </c>
      <c r="AW79" s="19">
        <v>52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190</v>
      </c>
      <c r="BT79">
        <v>241</v>
      </c>
      <c r="BU79" s="54">
        <v>22</v>
      </c>
      <c r="CE79">
        <v>116</v>
      </c>
      <c r="CF79">
        <v>9.1</v>
      </c>
      <c r="CG79">
        <v>4.0999999999999996</v>
      </c>
      <c r="CH79">
        <v>192</v>
      </c>
    </row>
    <row r="80" spans="1:91">
      <c r="A80" s="10" t="s">
        <v>80</v>
      </c>
      <c r="B80" s="18">
        <v>2</v>
      </c>
      <c r="C80" s="18">
        <v>1</v>
      </c>
      <c r="D80" s="18">
        <v>0</v>
      </c>
      <c r="E80" s="18">
        <v>1</v>
      </c>
      <c r="F80" s="18">
        <v>0</v>
      </c>
      <c r="G80" s="18">
        <v>1</v>
      </c>
      <c r="H80" s="18">
        <v>0</v>
      </c>
      <c r="I80" s="18">
        <v>1</v>
      </c>
      <c r="J80" s="16">
        <v>40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 s="25">
        <v>3060</v>
      </c>
      <c r="AW80" s="19">
        <v>49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189</v>
      </c>
      <c r="BT80">
        <v>290</v>
      </c>
      <c r="BU80" s="54">
        <v>17</v>
      </c>
      <c r="CE80">
        <v>112</v>
      </c>
      <c r="CF80">
        <v>10</v>
      </c>
      <c r="CG80">
        <v>2.7</v>
      </c>
      <c r="CH80">
        <v>195</v>
      </c>
    </row>
    <row r="81" spans="1:86">
      <c r="A81" s="3" t="s">
        <v>81</v>
      </c>
      <c r="B81" s="18">
        <v>2</v>
      </c>
      <c r="C81" s="18">
        <v>0</v>
      </c>
      <c r="D81" s="18">
        <v>0</v>
      </c>
      <c r="E81" s="18">
        <v>0</v>
      </c>
      <c r="F81" s="18">
        <v>1</v>
      </c>
      <c r="G81" s="18">
        <v>0</v>
      </c>
      <c r="H81" s="18">
        <v>1</v>
      </c>
      <c r="I81" s="18">
        <v>0</v>
      </c>
      <c r="J81" s="1">
        <v>37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 s="18">
        <v>4250</v>
      </c>
      <c r="AW81" s="19">
        <v>56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191</v>
      </c>
      <c r="BT81">
        <v>332</v>
      </c>
      <c r="BU81" s="54">
        <v>15</v>
      </c>
      <c r="CE81" s="14">
        <v>73</v>
      </c>
      <c r="CF81">
        <v>10</v>
      </c>
      <c r="CG81">
        <v>2.5</v>
      </c>
      <c r="CH81">
        <v>251</v>
      </c>
    </row>
    <row r="82" spans="1:86">
      <c r="A82" s="3" t="s">
        <v>82</v>
      </c>
      <c r="B82" s="18">
        <v>2</v>
      </c>
      <c r="C82" s="18">
        <v>0</v>
      </c>
      <c r="D82" s="18">
        <v>0</v>
      </c>
      <c r="E82" s="18">
        <v>0</v>
      </c>
      <c r="F82" s="18">
        <v>1</v>
      </c>
      <c r="G82" s="18">
        <v>0</v>
      </c>
      <c r="H82" s="18">
        <v>1</v>
      </c>
      <c r="I82" s="18">
        <v>0</v>
      </c>
      <c r="J82" s="1">
        <v>31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 s="12">
        <v>3810</v>
      </c>
      <c r="AW82" s="19">
        <v>53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200</v>
      </c>
      <c r="BT82">
        <v>329</v>
      </c>
      <c r="BU82" s="54">
        <v>25</v>
      </c>
      <c r="CE82" s="14">
        <v>93</v>
      </c>
      <c r="CF82">
        <v>11.6</v>
      </c>
      <c r="CG82">
        <v>3</v>
      </c>
      <c r="CH82">
        <v>235</v>
      </c>
    </row>
    <row r="83" spans="1:86">
      <c r="A83" s="3" t="s">
        <v>83</v>
      </c>
      <c r="B83" s="18">
        <v>2</v>
      </c>
      <c r="C83" s="18">
        <v>0</v>
      </c>
      <c r="D83" s="18">
        <v>0</v>
      </c>
      <c r="E83" s="18">
        <v>0</v>
      </c>
      <c r="F83" s="18">
        <v>1</v>
      </c>
      <c r="G83" s="18">
        <v>0</v>
      </c>
      <c r="H83" s="18">
        <v>1</v>
      </c>
      <c r="I83" s="18">
        <v>0</v>
      </c>
      <c r="J83" s="1">
        <v>31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 s="12">
        <v>3470</v>
      </c>
      <c r="AW83" s="19">
        <v>53</v>
      </c>
      <c r="BI83">
        <v>1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172</v>
      </c>
      <c r="BT83">
        <v>324</v>
      </c>
      <c r="BU83" s="54">
        <v>16</v>
      </c>
      <c r="CE83">
        <v>114</v>
      </c>
      <c r="CF83">
        <v>10</v>
      </c>
      <c r="CG83">
        <v>3.8</v>
      </c>
      <c r="CH83">
        <v>248</v>
      </c>
    </row>
    <row r="84" spans="1:86">
      <c r="A84" s="3" t="s">
        <v>84</v>
      </c>
      <c r="B84" s="18">
        <v>2</v>
      </c>
      <c r="C84" s="18">
        <v>0</v>
      </c>
      <c r="D84" s="18">
        <v>0</v>
      </c>
      <c r="E84" s="18">
        <v>0</v>
      </c>
      <c r="F84" s="18">
        <v>1</v>
      </c>
      <c r="G84" s="18">
        <v>0</v>
      </c>
      <c r="H84" s="18">
        <v>1</v>
      </c>
      <c r="I84" s="18">
        <v>0</v>
      </c>
      <c r="J84" s="1">
        <v>36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 s="12">
        <v>3670</v>
      </c>
      <c r="AW84" s="19">
        <v>53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180</v>
      </c>
      <c r="BT84">
        <v>405</v>
      </c>
      <c r="BU84" s="54">
        <v>18</v>
      </c>
      <c r="CE84" s="14">
        <v>99</v>
      </c>
      <c r="CF84">
        <v>11</v>
      </c>
      <c r="CG84">
        <v>3.2</v>
      </c>
      <c r="CH84">
        <v>225</v>
      </c>
    </row>
    <row r="85" spans="1:86">
      <c r="A85" s="3" t="s">
        <v>85</v>
      </c>
      <c r="B85" s="18">
        <v>2</v>
      </c>
      <c r="C85" s="18">
        <v>0</v>
      </c>
      <c r="D85" s="18">
        <v>1</v>
      </c>
      <c r="E85" s="18">
        <v>1</v>
      </c>
      <c r="F85" s="18">
        <v>0</v>
      </c>
      <c r="G85" s="18">
        <v>1</v>
      </c>
      <c r="H85" s="18">
        <v>1</v>
      </c>
      <c r="I85" s="18">
        <v>0</v>
      </c>
      <c r="J85" s="1">
        <v>45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 s="12">
        <v>3310</v>
      </c>
      <c r="AW85" s="19">
        <v>52</v>
      </c>
      <c r="BI85">
        <v>1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1</v>
      </c>
      <c r="BP85">
        <v>0</v>
      </c>
      <c r="BQ85">
        <v>0</v>
      </c>
      <c r="BR85">
        <v>0</v>
      </c>
      <c r="BS85">
        <v>191</v>
      </c>
      <c r="BT85">
        <v>158</v>
      </c>
      <c r="BU85" s="54">
        <v>21</v>
      </c>
      <c r="CE85">
        <v>130</v>
      </c>
      <c r="CF85">
        <v>15.9</v>
      </c>
      <c r="CG85">
        <v>4.2</v>
      </c>
      <c r="CH85">
        <v>243</v>
      </c>
    </row>
    <row r="86" spans="1:86" s="13" customFormat="1">
      <c r="A86" s="73" t="s">
        <v>86</v>
      </c>
      <c r="B86" s="60">
        <v>2</v>
      </c>
      <c r="C86" s="60">
        <v>0</v>
      </c>
      <c r="D86" s="60">
        <v>0</v>
      </c>
      <c r="E86" s="60">
        <v>0</v>
      </c>
      <c r="F86" s="60">
        <v>1</v>
      </c>
      <c r="G86" s="60">
        <v>0</v>
      </c>
      <c r="H86" s="60">
        <v>1</v>
      </c>
      <c r="I86" s="60">
        <v>0</v>
      </c>
      <c r="J86" s="13">
        <v>25</v>
      </c>
      <c r="K86" s="13">
        <v>0</v>
      </c>
      <c r="L86" s="13">
        <v>0</v>
      </c>
      <c r="M86" s="13">
        <v>1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1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1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1</v>
      </c>
      <c r="AJ86" s="13">
        <v>0</v>
      </c>
      <c r="AK86" s="13">
        <v>0</v>
      </c>
      <c r="AL86" s="13">
        <v>1</v>
      </c>
      <c r="AM86" s="13">
        <v>0</v>
      </c>
      <c r="AN86" s="13">
        <v>0</v>
      </c>
      <c r="AO86" s="13">
        <v>0</v>
      </c>
      <c r="AP86" s="13">
        <v>0</v>
      </c>
      <c r="AQ86" s="13">
        <v>1</v>
      </c>
      <c r="AR86" s="13">
        <v>0</v>
      </c>
      <c r="AS86" s="13">
        <v>1</v>
      </c>
      <c r="AT86" s="13">
        <v>0</v>
      </c>
      <c r="AU86" s="13">
        <v>0</v>
      </c>
      <c r="AV86" s="26">
        <v>1200</v>
      </c>
      <c r="AW86" s="56">
        <v>35</v>
      </c>
      <c r="AX86" s="56"/>
      <c r="AY86" s="56"/>
      <c r="AZ86" s="56"/>
      <c r="BA86" s="56"/>
      <c r="BB86" s="56"/>
      <c r="BC86" s="56"/>
      <c r="BD86" s="56"/>
      <c r="BI86" s="13">
        <v>1</v>
      </c>
      <c r="BJ86" s="13">
        <v>0</v>
      </c>
      <c r="BK86" s="13">
        <v>0</v>
      </c>
      <c r="BL86" s="13">
        <v>1</v>
      </c>
      <c r="BM86" s="13">
        <v>0</v>
      </c>
      <c r="BN86" s="13">
        <v>0</v>
      </c>
      <c r="BO86" s="13">
        <v>0</v>
      </c>
      <c r="BP86" s="13">
        <v>0</v>
      </c>
      <c r="BQ86" s="13">
        <v>1</v>
      </c>
      <c r="BR86" s="13">
        <v>0</v>
      </c>
      <c r="BU86" s="57"/>
      <c r="CE86" s="13">
        <v>110</v>
      </c>
      <c r="CF86" s="13">
        <v>9.6999999999999993</v>
      </c>
      <c r="CG86" s="13">
        <v>3.5</v>
      </c>
      <c r="CH86" s="13">
        <v>271</v>
      </c>
    </row>
    <row r="87" spans="1:86">
      <c r="A87" s="3" t="s">
        <v>87</v>
      </c>
      <c r="B87" s="18">
        <v>2</v>
      </c>
      <c r="C87" s="18">
        <v>1</v>
      </c>
      <c r="D87" s="18">
        <v>1</v>
      </c>
      <c r="E87" s="18">
        <v>1</v>
      </c>
      <c r="F87" s="18">
        <v>0</v>
      </c>
      <c r="G87" s="18">
        <v>1</v>
      </c>
      <c r="H87" s="18">
        <v>0</v>
      </c>
      <c r="I87" s="18">
        <v>1</v>
      </c>
      <c r="J87" s="1">
        <v>25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 s="24">
        <v>2570</v>
      </c>
      <c r="AW87" s="19">
        <v>48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166</v>
      </c>
      <c r="BT87">
        <v>186</v>
      </c>
      <c r="BU87" s="54">
        <v>11</v>
      </c>
      <c r="CE87">
        <v>108</v>
      </c>
      <c r="CF87">
        <v>8.3000000000000007</v>
      </c>
      <c r="CG87">
        <v>2.6</v>
      </c>
      <c r="CH87">
        <v>145</v>
      </c>
    </row>
    <row r="88" spans="1:86">
      <c r="A88" s="3" t="s">
        <v>88</v>
      </c>
      <c r="B88" s="18">
        <v>2</v>
      </c>
      <c r="C88" s="18">
        <v>1</v>
      </c>
      <c r="D88" s="18">
        <v>0</v>
      </c>
      <c r="E88" s="18">
        <v>0</v>
      </c>
      <c r="F88" s="18">
        <v>0</v>
      </c>
      <c r="G88" s="18">
        <v>1</v>
      </c>
      <c r="H88" s="18">
        <v>0</v>
      </c>
      <c r="I88" s="18">
        <v>1</v>
      </c>
      <c r="J88" s="1">
        <v>28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 s="24">
        <v>3510</v>
      </c>
      <c r="AW88" s="19">
        <v>52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176</v>
      </c>
      <c r="BT88">
        <v>262</v>
      </c>
      <c r="BU88" s="54">
        <v>16</v>
      </c>
      <c r="CE88">
        <v>100</v>
      </c>
      <c r="CF88">
        <v>10.4</v>
      </c>
      <c r="CG88">
        <v>3.4</v>
      </c>
      <c r="CH88">
        <v>280</v>
      </c>
    </row>
    <row r="89" spans="1:86">
      <c r="A89" s="3" t="s">
        <v>88</v>
      </c>
      <c r="B89" s="18">
        <v>2</v>
      </c>
      <c r="C89" s="18">
        <v>0</v>
      </c>
      <c r="D89" s="18">
        <v>0</v>
      </c>
      <c r="E89" s="18">
        <v>0</v>
      </c>
      <c r="F89" s="18">
        <v>1</v>
      </c>
      <c r="G89" s="18">
        <v>0</v>
      </c>
      <c r="H89" s="18">
        <v>1</v>
      </c>
      <c r="I89" s="18">
        <v>0</v>
      </c>
      <c r="J89" s="1">
        <v>31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 s="24">
        <v>3650</v>
      </c>
      <c r="AW89" s="19">
        <v>52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197</v>
      </c>
      <c r="BT89">
        <v>291</v>
      </c>
      <c r="BU89" s="54">
        <v>19</v>
      </c>
      <c r="CE89" s="14">
        <v>95</v>
      </c>
      <c r="CF89">
        <v>9.9</v>
      </c>
      <c r="CG89">
        <v>3.2</v>
      </c>
      <c r="CH89">
        <v>300</v>
      </c>
    </row>
    <row r="90" spans="1:86">
      <c r="A90" s="2" t="s">
        <v>89</v>
      </c>
      <c r="B90" s="18">
        <v>2</v>
      </c>
      <c r="C90" s="18">
        <v>0</v>
      </c>
      <c r="D90" s="18">
        <v>1</v>
      </c>
      <c r="E90" s="18">
        <v>0</v>
      </c>
      <c r="F90" s="18">
        <v>0</v>
      </c>
      <c r="G90" s="18">
        <v>1</v>
      </c>
      <c r="H90" s="18">
        <v>1</v>
      </c>
      <c r="I90" s="18">
        <v>0</v>
      </c>
      <c r="J90">
        <v>35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 s="24">
        <v>2550</v>
      </c>
      <c r="AW90" s="19">
        <v>49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201</v>
      </c>
      <c r="BT90">
        <v>212</v>
      </c>
      <c r="BU90" s="54">
        <v>15</v>
      </c>
      <c r="CE90">
        <v>122</v>
      </c>
      <c r="CF90">
        <v>11.3</v>
      </c>
      <c r="CG90">
        <v>3.7</v>
      </c>
      <c r="CH90">
        <v>231</v>
      </c>
    </row>
    <row r="91" spans="1:86">
      <c r="A91" s="3" t="s">
        <v>90</v>
      </c>
      <c r="B91" s="18">
        <v>2</v>
      </c>
      <c r="C91" s="18">
        <v>0</v>
      </c>
      <c r="D91" s="18">
        <v>1</v>
      </c>
      <c r="E91" s="18">
        <v>0</v>
      </c>
      <c r="F91" s="18">
        <v>0</v>
      </c>
      <c r="G91" s="18">
        <v>1</v>
      </c>
      <c r="H91" s="18">
        <v>1</v>
      </c>
      <c r="I91" s="18">
        <v>0</v>
      </c>
      <c r="J91" s="1">
        <v>26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 s="24">
        <v>4480</v>
      </c>
      <c r="AW91" s="19">
        <v>57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164</v>
      </c>
      <c r="BT91">
        <v>333</v>
      </c>
      <c r="BU91" s="54">
        <v>24</v>
      </c>
      <c r="CE91">
        <v>122</v>
      </c>
      <c r="CF91">
        <v>10</v>
      </c>
      <c r="CG91">
        <v>3.7</v>
      </c>
      <c r="CH91">
        <v>247</v>
      </c>
    </row>
    <row r="92" spans="1:86">
      <c r="A92" s="3" t="s">
        <v>91</v>
      </c>
      <c r="B92" s="18">
        <v>2</v>
      </c>
      <c r="C92" s="18">
        <v>0</v>
      </c>
      <c r="D92" s="18">
        <v>0</v>
      </c>
      <c r="E92" s="18">
        <v>0</v>
      </c>
      <c r="F92" s="18">
        <v>1</v>
      </c>
      <c r="G92" s="18">
        <v>0</v>
      </c>
      <c r="H92" s="18">
        <v>1</v>
      </c>
      <c r="I92" s="18">
        <v>0</v>
      </c>
      <c r="J92" s="1">
        <v>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 s="24">
        <v>3240</v>
      </c>
      <c r="AW92" s="19">
        <v>50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221</v>
      </c>
      <c r="BT92">
        <v>205</v>
      </c>
      <c r="BU92" s="54">
        <v>14</v>
      </c>
      <c r="CE92">
        <v>110</v>
      </c>
      <c r="CF92">
        <v>11.8</v>
      </c>
      <c r="CG92">
        <v>4.0999999999999996</v>
      </c>
      <c r="CH92">
        <v>351</v>
      </c>
    </row>
    <row r="93" spans="1:86" s="13" customFormat="1">
      <c r="A93" s="74" t="s">
        <v>92</v>
      </c>
      <c r="B93" s="60">
        <v>2</v>
      </c>
      <c r="C93" s="60">
        <v>1</v>
      </c>
      <c r="D93" s="60">
        <v>0</v>
      </c>
      <c r="E93" s="60">
        <v>1</v>
      </c>
      <c r="F93" s="60">
        <v>0</v>
      </c>
      <c r="G93" s="60">
        <v>1</v>
      </c>
      <c r="H93" s="60">
        <v>0</v>
      </c>
      <c r="I93" s="60">
        <v>1</v>
      </c>
      <c r="J93" s="75">
        <v>37</v>
      </c>
      <c r="K93" s="13">
        <v>0</v>
      </c>
      <c r="L93" s="13">
        <v>0</v>
      </c>
      <c r="M93" s="13">
        <v>1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1</v>
      </c>
      <c r="V93" s="13">
        <v>1</v>
      </c>
      <c r="W93" s="13">
        <v>0</v>
      </c>
      <c r="X93" s="13">
        <v>0</v>
      </c>
      <c r="Y93" s="13">
        <v>0</v>
      </c>
      <c r="Z93" s="13">
        <v>1</v>
      </c>
      <c r="AA93" s="13">
        <v>0</v>
      </c>
      <c r="AB93" s="13">
        <v>0</v>
      </c>
      <c r="AC93" s="13">
        <v>0</v>
      </c>
      <c r="AD93" s="13">
        <v>0</v>
      </c>
      <c r="AE93" s="13">
        <v>1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1</v>
      </c>
      <c r="AR93" s="13">
        <v>0</v>
      </c>
      <c r="AS93" s="13">
        <v>1</v>
      </c>
      <c r="AT93" s="13">
        <v>0</v>
      </c>
      <c r="AU93" s="13">
        <v>0</v>
      </c>
      <c r="AV93" s="27">
        <v>1240</v>
      </c>
      <c r="AW93" s="56">
        <v>38</v>
      </c>
      <c r="AX93" s="56"/>
      <c r="AY93" s="56"/>
      <c r="AZ93" s="56"/>
      <c r="BA93" s="56"/>
      <c r="BB93" s="56"/>
      <c r="BC93" s="56"/>
      <c r="BD93" s="56"/>
      <c r="BI93" s="13">
        <v>0</v>
      </c>
      <c r="BJ93" s="13">
        <v>0</v>
      </c>
      <c r="BK93" s="13">
        <v>0</v>
      </c>
      <c r="BL93" s="13">
        <v>1</v>
      </c>
      <c r="BM93" s="13">
        <v>0</v>
      </c>
      <c r="BN93" s="13">
        <v>0</v>
      </c>
      <c r="BO93" s="13">
        <v>0</v>
      </c>
      <c r="BP93" s="13">
        <v>0</v>
      </c>
      <c r="BQ93" s="13">
        <v>1</v>
      </c>
      <c r="BR93" s="13">
        <v>0</v>
      </c>
      <c r="BS93" s="14">
        <v>133</v>
      </c>
      <c r="BT93" s="13">
        <v>219</v>
      </c>
      <c r="BU93" s="57">
        <v>7</v>
      </c>
      <c r="CE93" s="13">
        <v>116</v>
      </c>
      <c r="CF93" s="13">
        <v>10.3</v>
      </c>
      <c r="CG93" s="13">
        <v>4</v>
      </c>
      <c r="CH93" s="13">
        <v>250</v>
      </c>
    </row>
    <row r="94" spans="1:86" s="13" customFormat="1">
      <c r="A94" s="63" t="s">
        <v>93</v>
      </c>
      <c r="B94" s="60">
        <v>2</v>
      </c>
      <c r="C94" s="60">
        <v>0</v>
      </c>
      <c r="D94" s="60">
        <v>0</v>
      </c>
      <c r="E94" s="60">
        <v>0</v>
      </c>
      <c r="F94" s="60">
        <v>1</v>
      </c>
      <c r="G94" s="60">
        <v>0</v>
      </c>
      <c r="H94" s="60">
        <v>1</v>
      </c>
      <c r="I94" s="60">
        <v>0</v>
      </c>
      <c r="J94" s="76">
        <v>38</v>
      </c>
      <c r="K94" s="13">
        <v>1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1</v>
      </c>
      <c r="X94" s="13">
        <v>0</v>
      </c>
      <c r="Y94" s="13">
        <v>1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10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1</v>
      </c>
      <c r="AM94" s="13">
        <v>0</v>
      </c>
      <c r="AN94" s="13">
        <v>0</v>
      </c>
      <c r="AO94" s="13">
        <v>1</v>
      </c>
      <c r="AP94" s="13">
        <v>0</v>
      </c>
      <c r="AQ94" s="13">
        <v>0</v>
      </c>
      <c r="AR94" s="13">
        <v>0</v>
      </c>
      <c r="AS94" s="13">
        <v>1</v>
      </c>
      <c r="AT94" s="13">
        <v>0</v>
      </c>
      <c r="AU94" s="13">
        <v>0</v>
      </c>
      <c r="AV94" s="28">
        <v>1780</v>
      </c>
      <c r="AW94" s="56">
        <v>44</v>
      </c>
      <c r="AX94" s="56">
        <v>2580</v>
      </c>
      <c r="AY94" s="28">
        <v>47</v>
      </c>
      <c r="AZ94" s="28">
        <v>1530</v>
      </c>
      <c r="BA94" s="28">
        <v>42</v>
      </c>
      <c r="BB94" s="28"/>
      <c r="BC94" s="56"/>
      <c r="BD94" s="56"/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1</v>
      </c>
      <c r="BP94" s="13">
        <v>0</v>
      </c>
      <c r="BQ94" s="13">
        <v>0</v>
      </c>
      <c r="BR94" s="13">
        <v>0</v>
      </c>
      <c r="BS94" s="13">
        <v>164</v>
      </c>
      <c r="BT94" s="13">
        <v>339</v>
      </c>
      <c r="BU94" s="57">
        <v>17</v>
      </c>
      <c r="BV94" s="13">
        <v>212</v>
      </c>
      <c r="BW94" s="13">
        <v>366</v>
      </c>
      <c r="BX94" s="13">
        <v>11</v>
      </c>
      <c r="BY94" s="13">
        <v>188</v>
      </c>
      <c r="BZ94" s="13">
        <v>312</v>
      </c>
      <c r="CE94" s="13">
        <v>118</v>
      </c>
      <c r="CF94" s="13">
        <v>11.2</v>
      </c>
      <c r="CG94" s="13">
        <v>3.7</v>
      </c>
      <c r="CH94" s="13">
        <v>164</v>
      </c>
    </row>
    <row r="95" spans="1:86">
      <c r="A95" s="3" t="s">
        <v>94</v>
      </c>
      <c r="B95" s="18">
        <v>2</v>
      </c>
      <c r="C95" s="18">
        <v>1</v>
      </c>
      <c r="D95" s="18">
        <v>0</v>
      </c>
      <c r="E95" s="18">
        <v>0</v>
      </c>
      <c r="F95" s="18">
        <v>0</v>
      </c>
      <c r="G95" s="18">
        <v>1</v>
      </c>
      <c r="H95" s="18">
        <v>0</v>
      </c>
      <c r="I95" s="18">
        <v>1</v>
      </c>
      <c r="J95" s="1">
        <v>26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 s="24">
        <v>3240</v>
      </c>
      <c r="AW95" s="19">
        <v>52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156</v>
      </c>
      <c r="BT95">
        <v>245</v>
      </c>
      <c r="BU95" s="54">
        <v>19</v>
      </c>
      <c r="CE95">
        <v>106</v>
      </c>
      <c r="CF95">
        <v>9</v>
      </c>
      <c r="CG95">
        <v>3.4</v>
      </c>
      <c r="CH95">
        <v>176</v>
      </c>
    </row>
    <row r="96" spans="1:86">
      <c r="A96" s="3" t="s">
        <v>95</v>
      </c>
      <c r="B96" s="18">
        <v>2</v>
      </c>
      <c r="C96" s="18">
        <v>0</v>
      </c>
      <c r="D96" s="18">
        <v>0</v>
      </c>
      <c r="E96" s="18">
        <v>0</v>
      </c>
      <c r="F96" s="18">
        <v>1</v>
      </c>
      <c r="G96" s="18">
        <v>0</v>
      </c>
      <c r="H96" s="18">
        <v>1</v>
      </c>
      <c r="I96" s="18">
        <v>0</v>
      </c>
      <c r="J96" s="1">
        <v>28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 s="24">
        <v>2580</v>
      </c>
      <c r="AW96" s="19">
        <v>49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178</v>
      </c>
      <c r="BT96">
        <v>121</v>
      </c>
      <c r="BU96" s="54">
        <v>11</v>
      </c>
      <c r="CE96">
        <v>107</v>
      </c>
      <c r="CF96">
        <v>10.6</v>
      </c>
      <c r="CG96">
        <v>3.9</v>
      </c>
      <c r="CH96">
        <v>287</v>
      </c>
    </row>
    <row r="97" spans="1:86">
      <c r="A97" s="12" t="s">
        <v>96</v>
      </c>
      <c r="B97" s="18">
        <v>2</v>
      </c>
      <c r="C97" s="18">
        <v>0</v>
      </c>
      <c r="D97" s="18">
        <v>0</v>
      </c>
      <c r="E97" s="18">
        <v>1</v>
      </c>
      <c r="F97" s="18">
        <v>0</v>
      </c>
      <c r="G97" s="18">
        <v>1</v>
      </c>
      <c r="H97" s="18">
        <v>1</v>
      </c>
      <c r="I97" s="18">
        <v>0</v>
      </c>
      <c r="J97" s="17">
        <v>31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s="24">
        <v>3130</v>
      </c>
      <c r="AW97" s="19">
        <v>52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214</v>
      </c>
      <c r="BT97">
        <v>185</v>
      </c>
      <c r="BU97" s="54">
        <v>16</v>
      </c>
      <c r="CE97">
        <v>114</v>
      </c>
      <c r="CF97">
        <v>8.4</v>
      </c>
      <c r="CG97">
        <v>4.3</v>
      </c>
      <c r="CH97">
        <v>230</v>
      </c>
    </row>
    <row r="98" spans="1:86">
      <c r="A98" s="3" t="s">
        <v>97</v>
      </c>
      <c r="B98" s="18">
        <v>2</v>
      </c>
      <c r="C98" s="18">
        <v>1</v>
      </c>
      <c r="D98" s="18">
        <v>1</v>
      </c>
      <c r="E98" s="18">
        <v>0</v>
      </c>
      <c r="F98" s="18">
        <v>0</v>
      </c>
      <c r="G98" s="18">
        <v>1</v>
      </c>
      <c r="H98" s="18">
        <v>0</v>
      </c>
      <c r="I98" s="18">
        <v>1</v>
      </c>
      <c r="J98" s="1">
        <v>29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 s="24">
        <v>3530</v>
      </c>
      <c r="AW98" s="19">
        <v>53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 s="14">
        <v>137</v>
      </c>
      <c r="BT98">
        <v>242</v>
      </c>
      <c r="BU98" s="54">
        <v>19</v>
      </c>
      <c r="CE98">
        <v>115</v>
      </c>
      <c r="CF98">
        <v>8.8000000000000007</v>
      </c>
      <c r="CG98">
        <v>3.8</v>
      </c>
      <c r="CH98">
        <v>311</v>
      </c>
    </row>
    <row r="99" spans="1:86">
      <c r="A99" s="3" t="s">
        <v>98</v>
      </c>
      <c r="B99" s="18">
        <v>2</v>
      </c>
      <c r="C99" s="18">
        <v>1</v>
      </c>
      <c r="D99" s="18">
        <v>1</v>
      </c>
      <c r="E99" s="18">
        <v>0</v>
      </c>
      <c r="F99" s="18">
        <v>0</v>
      </c>
      <c r="G99" s="18">
        <v>1</v>
      </c>
      <c r="H99" s="18">
        <v>0</v>
      </c>
      <c r="I99" s="18">
        <v>1</v>
      </c>
      <c r="J99" s="1">
        <v>35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 s="24">
        <v>2890</v>
      </c>
      <c r="AW99" s="19">
        <v>50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221</v>
      </c>
      <c r="BT99">
        <v>368</v>
      </c>
      <c r="BU99" s="54">
        <v>22</v>
      </c>
      <c r="CE99" s="14">
        <v>95</v>
      </c>
      <c r="CF99">
        <v>9.8000000000000007</v>
      </c>
      <c r="CG99">
        <v>3.3</v>
      </c>
      <c r="CH99">
        <v>196</v>
      </c>
    </row>
    <row r="100" spans="1:86">
      <c r="A100" s="10" t="s">
        <v>99</v>
      </c>
      <c r="B100" s="18">
        <v>2</v>
      </c>
      <c r="C100" s="18">
        <v>1</v>
      </c>
      <c r="D100" s="18">
        <v>0</v>
      </c>
      <c r="E100" s="18">
        <v>0</v>
      </c>
      <c r="F100" s="18">
        <v>0</v>
      </c>
      <c r="G100" s="18">
        <v>1</v>
      </c>
      <c r="H100" s="18">
        <v>0</v>
      </c>
      <c r="I100" s="18">
        <v>1</v>
      </c>
      <c r="J100" s="16">
        <v>37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 s="25">
        <v>4150</v>
      </c>
      <c r="AW100" s="19">
        <v>56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CE100" s="14">
        <v>88</v>
      </c>
      <c r="CF100">
        <v>18.7</v>
      </c>
      <c r="CG100">
        <v>3.4</v>
      </c>
      <c r="CH100">
        <v>222</v>
      </c>
    </row>
    <row r="101" spans="1:86">
      <c r="A101" s="2" t="s">
        <v>100</v>
      </c>
      <c r="B101" s="18">
        <v>2</v>
      </c>
      <c r="C101" s="18">
        <v>0</v>
      </c>
      <c r="D101" s="18">
        <v>0</v>
      </c>
      <c r="E101" s="18">
        <v>0</v>
      </c>
      <c r="F101" s="18">
        <v>1</v>
      </c>
      <c r="G101" s="18">
        <v>0</v>
      </c>
      <c r="H101" s="18">
        <v>1</v>
      </c>
      <c r="I101" s="18">
        <v>0</v>
      </c>
      <c r="J101">
        <v>26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 s="24">
        <v>3120</v>
      </c>
      <c r="AW101" s="19">
        <v>52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201</v>
      </c>
      <c r="BT101">
        <v>377</v>
      </c>
      <c r="BU101" s="54">
        <v>23</v>
      </c>
      <c r="CE101">
        <v>111</v>
      </c>
      <c r="CF101">
        <v>10</v>
      </c>
      <c r="CG101">
        <v>3.6</v>
      </c>
      <c r="CH101">
        <v>256</v>
      </c>
    </row>
    <row r="102" spans="1:86">
      <c r="A102" s="10" t="s">
        <v>101</v>
      </c>
      <c r="B102" s="18">
        <v>2</v>
      </c>
      <c r="C102" s="18">
        <v>0</v>
      </c>
      <c r="D102" s="18">
        <v>0</v>
      </c>
      <c r="E102" s="18">
        <v>0</v>
      </c>
      <c r="F102" s="18">
        <v>1</v>
      </c>
      <c r="G102" s="18">
        <v>0</v>
      </c>
      <c r="H102" s="18">
        <v>1</v>
      </c>
      <c r="I102" s="18">
        <v>0</v>
      </c>
      <c r="J102" s="16">
        <v>30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1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 s="29">
        <v>3210</v>
      </c>
      <c r="AW102" s="19">
        <v>52</v>
      </c>
      <c r="BI102">
        <v>1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156</v>
      </c>
      <c r="BT102">
        <v>233</v>
      </c>
      <c r="BU102" s="54">
        <v>16</v>
      </c>
      <c r="CE102" s="14">
        <v>92</v>
      </c>
      <c r="CF102">
        <v>7.3</v>
      </c>
      <c r="CG102">
        <v>3.4</v>
      </c>
      <c r="CH102">
        <v>193</v>
      </c>
    </row>
    <row r="103" spans="1:86">
      <c r="A103" s="3" t="s">
        <v>102</v>
      </c>
      <c r="B103" s="18">
        <v>2</v>
      </c>
      <c r="C103" s="18">
        <v>0</v>
      </c>
      <c r="D103" s="18">
        <v>0</v>
      </c>
      <c r="E103" s="18">
        <v>0</v>
      </c>
      <c r="F103" s="18">
        <v>1</v>
      </c>
      <c r="G103" s="18">
        <v>0</v>
      </c>
      <c r="H103" s="18">
        <v>1</v>
      </c>
      <c r="I103" s="18">
        <v>0</v>
      </c>
      <c r="J103" s="1">
        <v>23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 s="12">
        <v>4170</v>
      </c>
      <c r="AW103" s="19">
        <v>55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168</v>
      </c>
      <c r="BT103">
        <v>309</v>
      </c>
      <c r="BU103" s="54">
        <v>23</v>
      </c>
      <c r="CE103">
        <v>115</v>
      </c>
      <c r="CF103">
        <v>10.3</v>
      </c>
      <c r="CG103">
        <v>3.6</v>
      </c>
      <c r="CH103">
        <v>373</v>
      </c>
    </row>
    <row r="104" spans="1:86" s="13" customFormat="1">
      <c r="A104" s="59" t="s">
        <v>103</v>
      </c>
      <c r="B104" s="60">
        <v>2</v>
      </c>
      <c r="C104" s="60">
        <v>0</v>
      </c>
      <c r="D104" s="60">
        <v>0</v>
      </c>
      <c r="E104" s="60">
        <v>0</v>
      </c>
      <c r="F104" s="60">
        <v>1</v>
      </c>
      <c r="G104" s="60">
        <v>0</v>
      </c>
      <c r="H104" s="60">
        <v>1</v>
      </c>
      <c r="I104" s="60">
        <v>0</v>
      </c>
      <c r="J104" s="48">
        <v>29</v>
      </c>
      <c r="K104" s="13">
        <v>0</v>
      </c>
      <c r="L104" s="13">
        <v>0</v>
      </c>
      <c r="M104" s="13">
        <v>0</v>
      </c>
      <c r="N104" s="13">
        <v>1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1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1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1</v>
      </c>
      <c r="AR104" s="13">
        <v>0</v>
      </c>
      <c r="AS104" s="13">
        <v>1</v>
      </c>
      <c r="AT104" s="13">
        <v>0</v>
      </c>
      <c r="AU104" s="13">
        <v>0</v>
      </c>
      <c r="AV104" s="23">
        <v>750</v>
      </c>
      <c r="AW104" s="56">
        <v>33</v>
      </c>
      <c r="AX104" s="56"/>
      <c r="AY104" s="56"/>
      <c r="AZ104" s="56"/>
      <c r="BA104" s="56"/>
      <c r="BB104" s="56"/>
      <c r="BC104" s="56"/>
      <c r="BD104" s="56"/>
      <c r="BI104" s="13">
        <v>0</v>
      </c>
      <c r="BJ104" s="13">
        <v>0</v>
      </c>
      <c r="BK104" s="13">
        <v>0</v>
      </c>
      <c r="BL104" s="13">
        <v>0</v>
      </c>
      <c r="BM104" s="13">
        <v>1</v>
      </c>
      <c r="BN104" s="13">
        <v>1</v>
      </c>
      <c r="BO104" s="13">
        <v>0</v>
      </c>
      <c r="BP104" s="13">
        <v>0</v>
      </c>
      <c r="BQ104" s="13">
        <v>0</v>
      </c>
      <c r="BR104" s="13">
        <v>0</v>
      </c>
      <c r="BU104" s="57"/>
      <c r="CE104" s="13">
        <v>126</v>
      </c>
      <c r="CF104" s="13">
        <v>7.5</v>
      </c>
      <c r="CG104" s="13">
        <v>3.8</v>
      </c>
      <c r="CH104" s="13">
        <v>190</v>
      </c>
    </row>
    <row r="105" spans="1:86" s="13" customFormat="1">
      <c r="A105" s="59" t="s">
        <v>104</v>
      </c>
      <c r="B105" s="60">
        <v>2</v>
      </c>
      <c r="C105" s="60">
        <v>1</v>
      </c>
      <c r="D105" s="60">
        <v>0</v>
      </c>
      <c r="E105" s="60">
        <v>1</v>
      </c>
      <c r="F105" s="60">
        <v>0</v>
      </c>
      <c r="G105" s="60">
        <v>1</v>
      </c>
      <c r="H105" s="60">
        <v>0</v>
      </c>
      <c r="I105" s="60">
        <v>1</v>
      </c>
      <c r="J105" s="48">
        <v>30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1</v>
      </c>
      <c r="U105" s="13">
        <v>0</v>
      </c>
      <c r="V105" s="13">
        <v>1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1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1</v>
      </c>
      <c r="AQ105" s="13">
        <v>0</v>
      </c>
      <c r="AR105" s="13">
        <v>0</v>
      </c>
      <c r="AS105" s="13">
        <v>0</v>
      </c>
      <c r="AT105" s="13">
        <v>1</v>
      </c>
      <c r="AU105" s="13">
        <v>0</v>
      </c>
      <c r="AV105" s="23">
        <v>1900</v>
      </c>
      <c r="AW105" s="56">
        <v>41</v>
      </c>
      <c r="AX105" s="56"/>
      <c r="AY105" s="56"/>
      <c r="AZ105" s="56"/>
      <c r="BA105" s="56"/>
      <c r="BB105" s="56"/>
      <c r="BC105" s="56"/>
      <c r="BD105" s="56"/>
      <c r="BI105" s="13">
        <v>1</v>
      </c>
      <c r="BJ105" s="13">
        <v>0</v>
      </c>
      <c r="BK105" s="13">
        <v>0</v>
      </c>
      <c r="BL105" s="13">
        <v>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4">
        <v>124</v>
      </c>
      <c r="BT105" s="13">
        <v>249</v>
      </c>
      <c r="BU105" s="57">
        <v>12</v>
      </c>
      <c r="CE105" s="13">
        <v>108</v>
      </c>
      <c r="CF105" s="13">
        <v>13.2</v>
      </c>
      <c r="CG105" s="13">
        <v>3.7</v>
      </c>
      <c r="CH105" s="13">
        <v>531</v>
      </c>
    </row>
    <row r="106" spans="1:86">
      <c r="A106" s="3" t="s">
        <v>105</v>
      </c>
      <c r="B106" s="18">
        <v>2</v>
      </c>
      <c r="C106" s="18">
        <v>1</v>
      </c>
      <c r="D106" s="18">
        <v>0</v>
      </c>
      <c r="E106" s="18">
        <v>0</v>
      </c>
      <c r="F106" s="18">
        <v>0</v>
      </c>
      <c r="G106" s="18">
        <v>1</v>
      </c>
      <c r="H106" s="18">
        <v>0</v>
      </c>
      <c r="I106" s="18">
        <v>1</v>
      </c>
      <c r="J106" s="1">
        <v>35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 s="12">
        <v>3840</v>
      </c>
      <c r="AW106" s="19">
        <v>54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195</v>
      </c>
      <c r="BT106">
        <v>255</v>
      </c>
      <c r="BU106" s="54">
        <v>27</v>
      </c>
      <c r="CE106">
        <v>142</v>
      </c>
      <c r="CF106">
        <v>7.5</v>
      </c>
      <c r="CG106">
        <v>4.7</v>
      </c>
      <c r="CH106">
        <v>188</v>
      </c>
    </row>
    <row r="107" spans="1:86">
      <c r="A107" s="2" t="s">
        <v>106</v>
      </c>
      <c r="B107" s="18">
        <v>2</v>
      </c>
      <c r="C107" s="18">
        <v>0</v>
      </c>
      <c r="D107" s="18">
        <v>1</v>
      </c>
      <c r="E107" s="18">
        <v>0</v>
      </c>
      <c r="F107" s="18">
        <v>0</v>
      </c>
      <c r="G107" s="18">
        <v>1</v>
      </c>
      <c r="H107" s="18">
        <v>1</v>
      </c>
      <c r="I107" s="18">
        <v>0</v>
      </c>
      <c r="J107" s="1">
        <v>30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 s="19">
        <v>3770</v>
      </c>
      <c r="AW107" s="19">
        <v>53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184</v>
      </c>
      <c r="BT107">
        <v>371</v>
      </c>
      <c r="BU107" s="54">
        <v>25</v>
      </c>
      <c r="CE107" s="14">
        <v>78</v>
      </c>
      <c r="CF107">
        <v>10.4</v>
      </c>
      <c r="CG107">
        <v>2.5</v>
      </c>
      <c r="CH107">
        <v>279</v>
      </c>
    </row>
    <row r="108" spans="1:86">
      <c r="A108" s="3" t="s">
        <v>107</v>
      </c>
      <c r="B108" s="18">
        <v>2</v>
      </c>
      <c r="C108" s="18">
        <v>0</v>
      </c>
      <c r="D108" s="18">
        <v>0</v>
      </c>
      <c r="E108" s="18">
        <v>0</v>
      </c>
      <c r="F108" s="18">
        <v>1</v>
      </c>
      <c r="G108" s="18">
        <v>0</v>
      </c>
      <c r="H108" s="18">
        <v>1</v>
      </c>
      <c r="I108" s="18">
        <v>0</v>
      </c>
      <c r="J108" s="1">
        <v>29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s="19">
        <v>3480</v>
      </c>
      <c r="AW108" s="19">
        <v>53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161</v>
      </c>
      <c r="BT108">
        <v>264</v>
      </c>
      <c r="BU108" s="54">
        <v>22</v>
      </c>
      <c r="CE108">
        <v>117</v>
      </c>
      <c r="CF108">
        <v>11.1</v>
      </c>
      <c r="CG108">
        <v>4</v>
      </c>
      <c r="CH108">
        <v>474</v>
      </c>
    </row>
    <row r="109" spans="1:86">
      <c r="A109" s="3" t="s">
        <v>108</v>
      </c>
      <c r="B109" s="18">
        <v>2</v>
      </c>
      <c r="C109" s="18">
        <v>0</v>
      </c>
      <c r="D109" s="18">
        <v>0</v>
      </c>
      <c r="E109" s="18">
        <v>1</v>
      </c>
      <c r="F109" s="18">
        <v>0</v>
      </c>
      <c r="G109" s="18">
        <v>1</v>
      </c>
      <c r="H109" s="18">
        <v>1</v>
      </c>
      <c r="I109" s="18">
        <v>0</v>
      </c>
      <c r="J109" s="1">
        <v>39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 s="19">
        <v>2740</v>
      </c>
      <c r="AW109" s="19">
        <v>45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1</v>
      </c>
      <c r="BR109">
        <v>0</v>
      </c>
      <c r="BS109">
        <v>204</v>
      </c>
      <c r="BT109">
        <v>253</v>
      </c>
      <c r="BU109" s="54">
        <v>14</v>
      </c>
      <c r="CE109" s="14">
        <v>97</v>
      </c>
      <c r="CF109">
        <v>6.5</v>
      </c>
      <c r="CG109">
        <v>3.1</v>
      </c>
      <c r="CH109">
        <v>267</v>
      </c>
    </row>
    <row r="110" spans="1:86">
      <c r="A110" s="3" t="s">
        <v>109</v>
      </c>
      <c r="B110" s="18">
        <v>2</v>
      </c>
      <c r="C110" s="18">
        <v>0</v>
      </c>
      <c r="D110" s="18">
        <v>0</v>
      </c>
      <c r="E110" s="18">
        <v>0</v>
      </c>
      <c r="F110" s="18">
        <v>1</v>
      </c>
      <c r="G110" s="18">
        <v>0</v>
      </c>
      <c r="H110" s="18">
        <v>1</v>
      </c>
      <c r="I110" s="18">
        <v>0</v>
      </c>
      <c r="J110" s="1">
        <v>30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 s="19">
        <v>3420</v>
      </c>
      <c r="AW110" s="19">
        <v>51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241</v>
      </c>
      <c r="BT110">
        <v>363</v>
      </c>
      <c r="BU110" s="54">
        <v>21</v>
      </c>
      <c r="CE110" s="14">
        <v>92</v>
      </c>
      <c r="CF110">
        <v>19.100000000000001</v>
      </c>
      <c r="CG110">
        <v>3.1</v>
      </c>
      <c r="CH110">
        <v>375</v>
      </c>
    </row>
    <row r="111" spans="1:86">
      <c r="A111" s="12" t="s">
        <v>110</v>
      </c>
      <c r="B111" s="18">
        <v>2</v>
      </c>
      <c r="C111" s="18">
        <v>1</v>
      </c>
      <c r="D111" s="18">
        <v>1</v>
      </c>
      <c r="E111" s="18">
        <v>0</v>
      </c>
      <c r="F111" s="18">
        <v>0</v>
      </c>
      <c r="G111" s="18">
        <v>1</v>
      </c>
      <c r="H111" s="18">
        <v>0</v>
      </c>
      <c r="I111" s="18">
        <v>1</v>
      </c>
      <c r="J111" s="17">
        <v>38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 s="19">
        <v>3240</v>
      </c>
      <c r="AW111" s="19">
        <v>53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212</v>
      </c>
      <c r="BT111">
        <v>238</v>
      </c>
      <c r="BU111" s="54">
        <v>30</v>
      </c>
      <c r="CE111">
        <v>107</v>
      </c>
      <c r="CF111">
        <v>9.1</v>
      </c>
      <c r="CG111">
        <v>3.3</v>
      </c>
      <c r="CH111">
        <v>181</v>
      </c>
    </row>
    <row r="112" spans="1:86">
      <c r="A112" s="12" t="s">
        <v>111</v>
      </c>
      <c r="B112" s="18">
        <v>2</v>
      </c>
      <c r="C112" s="18">
        <v>1</v>
      </c>
      <c r="D112" s="18">
        <v>1</v>
      </c>
      <c r="E112" s="18">
        <v>0</v>
      </c>
      <c r="F112" s="18">
        <v>0</v>
      </c>
      <c r="G112" s="18">
        <v>1</v>
      </c>
      <c r="H112" s="18">
        <v>0</v>
      </c>
      <c r="I112" s="18">
        <v>1</v>
      </c>
      <c r="J112" s="17">
        <v>42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 s="19">
        <v>3730</v>
      </c>
      <c r="AW112" s="19">
        <v>51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218</v>
      </c>
      <c r="BT112">
        <v>190</v>
      </c>
      <c r="BU112" s="54">
        <v>19</v>
      </c>
      <c r="CE112">
        <v>105</v>
      </c>
      <c r="CF112">
        <v>10.6</v>
      </c>
      <c r="CG112">
        <v>4.5</v>
      </c>
      <c r="CH112">
        <v>281</v>
      </c>
    </row>
    <row r="113" spans="1:86">
      <c r="A113" s="3" t="s">
        <v>112</v>
      </c>
      <c r="B113" s="18">
        <v>2</v>
      </c>
      <c r="C113" s="18">
        <v>0</v>
      </c>
      <c r="D113" s="18">
        <v>0</v>
      </c>
      <c r="E113" s="18">
        <v>0</v>
      </c>
      <c r="F113" s="18">
        <v>1</v>
      </c>
      <c r="G113" s="18">
        <v>0</v>
      </c>
      <c r="H113" s="18">
        <v>1</v>
      </c>
      <c r="I113" s="18">
        <v>0</v>
      </c>
      <c r="J113" s="1">
        <v>28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 s="19">
        <v>3980</v>
      </c>
      <c r="AW113" s="19">
        <v>54</v>
      </c>
      <c r="BI113">
        <v>1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201</v>
      </c>
      <c r="BT113">
        <v>95</v>
      </c>
      <c r="BU113" s="54">
        <v>16</v>
      </c>
      <c r="CE113">
        <v>126</v>
      </c>
      <c r="CF113">
        <v>8.1</v>
      </c>
      <c r="CG113">
        <v>3.6</v>
      </c>
      <c r="CH113">
        <v>141</v>
      </c>
    </row>
    <row r="114" spans="1:86">
      <c r="A114" s="12" t="s">
        <v>113</v>
      </c>
      <c r="B114" s="18">
        <v>2</v>
      </c>
      <c r="C114" s="18">
        <v>1</v>
      </c>
      <c r="D114" s="18">
        <v>0</v>
      </c>
      <c r="E114" s="18">
        <v>0</v>
      </c>
      <c r="F114" s="18">
        <v>0</v>
      </c>
      <c r="G114" s="18">
        <v>1</v>
      </c>
      <c r="H114" s="18">
        <v>0</v>
      </c>
      <c r="I114" s="18">
        <v>1</v>
      </c>
      <c r="J114" s="1">
        <v>28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s="19">
        <v>3300</v>
      </c>
      <c r="AW114" s="19">
        <v>51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178</v>
      </c>
      <c r="BT114">
        <v>260</v>
      </c>
      <c r="BU114" s="54">
        <v>20</v>
      </c>
      <c r="CE114">
        <v>108</v>
      </c>
      <c r="CF114">
        <v>16.100000000000001</v>
      </c>
      <c r="CG114">
        <v>3.7</v>
      </c>
      <c r="CH114">
        <v>358</v>
      </c>
    </row>
    <row r="115" spans="1:86">
      <c r="A115" s="12" t="s">
        <v>114</v>
      </c>
      <c r="B115" s="18">
        <v>2</v>
      </c>
      <c r="C115" s="18">
        <v>1</v>
      </c>
      <c r="D115" s="18">
        <v>1</v>
      </c>
      <c r="E115" s="18">
        <v>0</v>
      </c>
      <c r="F115" s="18">
        <v>0</v>
      </c>
      <c r="G115" s="18">
        <v>1</v>
      </c>
      <c r="H115" s="18">
        <v>0</v>
      </c>
      <c r="I115" s="18">
        <v>1</v>
      </c>
      <c r="J115" s="1">
        <v>46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 s="19">
        <v>3250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183</v>
      </c>
      <c r="BT115">
        <v>358</v>
      </c>
      <c r="BU115" s="54">
        <v>16</v>
      </c>
      <c r="CE115" s="14">
        <v>99</v>
      </c>
      <c r="CF115">
        <v>6.2</v>
      </c>
      <c r="CG115">
        <v>3.2</v>
      </c>
      <c r="CH115">
        <v>249</v>
      </c>
    </row>
    <row r="116" spans="1:86">
      <c r="A116" s="3" t="s">
        <v>115</v>
      </c>
      <c r="B116" s="18">
        <v>2</v>
      </c>
      <c r="C116" s="18">
        <v>1</v>
      </c>
      <c r="D116" s="18">
        <v>0</v>
      </c>
      <c r="E116" s="18">
        <v>0</v>
      </c>
      <c r="F116" s="18">
        <v>0</v>
      </c>
      <c r="G116" s="18">
        <v>1</v>
      </c>
      <c r="H116" s="18">
        <v>0</v>
      </c>
      <c r="I116" s="18">
        <v>1</v>
      </c>
      <c r="J116" s="1">
        <v>26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 s="19">
        <v>3790</v>
      </c>
      <c r="AW116" s="19">
        <v>52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166</v>
      </c>
      <c r="BT116">
        <v>337</v>
      </c>
      <c r="BU116" s="54">
        <v>14</v>
      </c>
      <c r="CE116">
        <v>115</v>
      </c>
      <c r="CF116">
        <v>11.1</v>
      </c>
      <c r="CG116">
        <v>3.7</v>
      </c>
      <c r="CH116">
        <v>258</v>
      </c>
    </row>
    <row r="117" spans="1:86">
      <c r="A117" s="11" t="s">
        <v>116</v>
      </c>
      <c r="B117" s="18">
        <v>2</v>
      </c>
      <c r="C117" s="18">
        <v>0</v>
      </c>
      <c r="D117" s="18">
        <v>0</v>
      </c>
      <c r="E117" s="18">
        <v>0</v>
      </c>
      <c r="F117" s="18">
        <v>1</v>
      </c>
      <c r="G117" s="18">
        <v>0</v>
      </c>
      <c r="H117" s="18">
        <v>1</v>
      </c>
      <c r="I117" s="18">
        <v>0</v>
      </c>
      <c r="J117" s="1">
        <v>34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 s="19">
        <v>3050</v>
      </c>
      <c r="AW117" s="19">
        <v>52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178</v>
      </c>
      <c r="BT117">
        <v>212</v>
      </c>
      <c r="BU117" s="54">
        <v>19</v>
      </c>
      <c r="CE117">
        <v>115</v>
      </c>
      <c r="CF117">
        <v>15.2</v>
      </c>
      <c r="CG117">
        <v>3.8</v>
      </c>
      <c r="CH117">
        <v>282</v>
      </c>
    </row>
    <row r="118" spans="1:86">
      <c r="A118" s="3" t="s">
        <v>117</v>
      </c>
      <c r="B118" s="18">
        <v>2</v>
      </c>
      <c r="C118" s="18">
        <v>0</v>
      </c>
      <c r="D118" s="18">
        <v>1</v>
      </c>
      <c r="E118" s="18">
        <v>0</v>
      </c>
      <c r="F118" s="18">
        <v>0</v>
      </c>
      <c r="G118" s="18">
        <v>1</v>
      </c>
      <c r="H118" s="18">
        <v>1</v>
      </c>
      <c r="I118" s="18">
        <v>0</v>
      </c>
      <c r="J118" s="1">
        <v>41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 s="19">
        <v>4470</v>
      </c>
      <c r="AW118" s="19">
        <v>57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203</v>
      </c>
      <c r="BT118">
        <v>344</v>
      </c>
      <c r="BU118" s="54">
        <v>24</v>
      </c>
      <c r="CE118" s="14">
        <v>98</v>
      </c>
      <c r="CF118">
        <v>7.9</v>
      </c>
      <c r="CG118">
        <v>4.5999999999999996</v>
      </c>
      <c r="CH118">
        <v>301</v>
      </c>
    </row>
    <row r="119" spans="1:86">
      <c r="A119" s="3" t="s">
        <v>118</v>
      </c>
      <c r="B119" s="18">
        <v>2</v>
      </c>
      <c r="C119" s="18">
        <v>1</v>
      </c>
      <c r="D119" s="18">
        <v>0</v>
      </c>
      <c r="E119" s="18">
        <v>0</v>
      </c>
      <c r="F119" s="18">
        <v>0</v>
      </c>
      <c r="G119" s="18">
        <v>1</v>
      </c>
      <c r="H119" s="18">
        <v>0</v>
      </c>
      <c r="I119" s="18">
        <v>1</v>
      </c>
      <c r="J119" s="1">
        <v>37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 s="19">
        <v>3530</v>
      </c>
      <c r="AW119" s="19">
        <v>52</v>
      </c>
      <c r="BI119">
        <v>1</v>
      </c>
      <c r="BJ119">
        <v>0</v>
      </c>
      <c r="BK119">
        <v>0</v>
      </c>
      <c r="BL119">
        <v>1</v>
      </c>
      <c r="BM119">
        <v>1</v>
      </c>
      <c r="BN119">
        <v>0</v>
      </c>
      <c r="BO119">
        <v>0</v>
      </c>
      <c r="BP119">
        <v>1</v>
      </c>
      <c r="BQ119">
        <v>0</v>
      </c>
      <c r="BR119">
        <v>0</v>
      </c>
      <c r="BS119" s="14">
        <v>143</v>
      </c>
      <c r="BT119">
        <v>248</v>
      </c>
      <c r="BU119" s="54">
        <v>21</v>
      </c>
      <c r="CE119">
        <v>104</v>
      </c>
      <c r="CF119">
        <v>12.3</v>
      </c>
      <c r="CG119">
        <v>4.2</v>
      </c>
      <c r="CH119">
        <v>268</v>
      </c>
    </row>
    <row r="120" spans="1:86" s="13" customFormat="1">
      <c r="A120" s="74" t="s">
        <v>119</v>
      </c>
      <c r="B120" s="60">
        <v>2</v>
      </c>
      <c r="C120" s="60">
        <v>1</v>
      </c>
      <c r="D120" s="60">
        <v>0</v>
      </c>
      <c r="E120" s="60">
        <v>1</v>
      </c>
      <c r="F120" s="60">
        <v>0</v>
      </c>
      <c r="G120" s="60">
        <v>1</v>
      </c>
      <c r="H120" s="60">
        <v>0</v>
      </c>
      <c r="I120" s="60">
        <v>1</v>
      </c>
      <c r="J120" s="77">
        <v>32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1</v>
      </c>
      <c r="T120" s="13">
        <v>0</v>
      </c>
      <c r="U120" s="13">
        <v>1</v>
      </c>
      <c r="V120" s="13">
        <v>0</v>
      </c>
      <c r="W120" s="13">
        <v>0</v>
      </c>
      <c r="X120" s="13">
        <v>0</v>
      </c>
      <c r="Y120" s="13">
        <v>1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1</v>
      </c>
      <c r="AR120" s="13">
        <v>0</v>
      </c>
      <c r="AS120" s="13">
        <v>1</v>
      </c>
      <c r="AT120" s="13">
        <v>0</v>
      </c>
      <c r="AU120" s="13">
        <v>0</v>
      </c>
      <c r="AV120" s="28">
        <v>1650</v>
      </c>
      <c r="AW120" s="56">
        <v>43</v>
      </c>
      <c r="AX120" s="56"/>
      <c r="AY120" s="56"/>
      <c r="AZ120" s="56"/>
      <c r="BA120" s="56"/>
      <c r="BB120" s="56"/>
      <c r="BC120" s="56"/>
      <c r="BD120" s="56"/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1</v>
      </c>
      <c r="BP120" s="13">
        <v>0</v>
      </c>
      <c r="BQ120" s="13">
        <v>1</v>
      </c>
      <c r="BR120" s="13">
        <v>0</v>
      </c>
      <c r="BS120" s="14">
        <v>128</v>
      </c>
      <c r="BT120" s="13">
        <v>215</v>
      </c>
      <c r="BU120" s="57">
        <v>9</v>
      </c>
      <c r="CE120" s="13">
        <v>100</v>
      </c>
      <c r="CF120" s="13">
        <v>7</v>
      </c>
      <c r="CG120" s="13">
        <v>3.3</v>
      </c>
      <c r="CH120" s="13">
        <v>373</v>
      </c>
    </row>
    <row r="121" spans="1:86">
      <c r="A121" s="6" t="s">
        <v>120</v>
      </c>
      <c r="B121" s="18">
        <v>2</v>
      </c>
      <c r="C121" s="18">
        <v>1</v>
      </c>
      <c r="D121" s="18">
        <v>1</v>
      </c>
      <c r="E121" s="18">
        <v>0</v>
      </c>
      <c r="F121" s="18">
        <v>0</v>
      </c>
      <c r="G121" s="18">
        <v>1</v>
      </c>
      <c r="H121" s="18">
        <v>0</v>
      </c>
      <c r="I121" s="18">
        <v>1</v>
      </c>
      <c r="J121">
        <v>35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s="19">
        <v>3410</v>
      </c>
      <c r="AW121" s="19">
        <v>52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 s="14">
        <v>149</v>
      </c>
      <c r="BT121">
        <v>213</v>
      </c>
      <c r="BU121" s="54">
        <v>12</v>
      </c>
      <c r="CE121">
        <v>117</v>
      </c>
      <c r="CF121">
        <v>8.6999999999999993</v>
      </c>
      <c r="CG121">
        <v>3.8</v>
      </c>
      <c r="CH121">
        <v>161</v>
      </c>
    </row>
    <row r="122" spans="1:86">
      <c r="A122" s="11" t="s">
        <v>121</v>
      </c>
      <c r="B122" s="18">
        <v>2</v>
      </c>
      <c r="C122" s="18">
        <v>0</v>
      </c>
      <c r="D122" s="18">
        <v>0</v>
      </c>
      <c r="E122" s="18">
        <v>0</v>
      </c>
      <c r="F122" s="18">
        <v>1</v>
      </c>
      <c r="G122" s="18">
        <v>0</v>
      </c>
      <c r="H122" s="18">
        <v>1</v>
      </c>
      <c r="I122" s="18">
        <v>0</v>
      </c>
      <c r="J122">
        <v>26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 s="19">
        <v>2910</v>
      </c>
      <c r="AW122" s="19">
        <v>49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178</v>
      </c>
      <c r="BT122">
        <v>299</v>
      </c>
      <c r="BU122" s="54">
        <v>25</v>
      </c>
      <c r="CE122">
        <v>125</v>
      </c>
      <c r="CF122">
        <v>13.1</v>
      </c>
      <c r="CG122">
        <v>4</v>
      </c>
      <c r="CH122">
        <v>316</v>
      </c>
    </row>
    <row r="123" spans="1:86">
      <c r="A123" s="2" t="s">
        <v>122</v>
      </c>
      <c r="B123" s="18">
        <v>2</v>
      </c>
      <c r="C123" s="18">
        <v>1</v>
      </c>
      <c r="D123" s="18">
        <v>0</v>
      </c>
      <c r="E123" s="18">
        <v>0</v>
      </c>
      <c r="F123" s="18">
        <v>0</v>
      </c>
      <c r="G123" s="18">
        <v>1</v>
      </c>
      <c r="H123" s="18">
        <v>0</v>
      </c>
      <c r="I123" s="18">
        <v>1</v>
      </c>
      <c r="J123">
        <v>27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 s="19">
        <v>3910</v>
      </c>
      <c r="AW123" s="19">
        <v>53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CE123">
        <v>101</v>
      </c>
      <c r="CF123">
        <v>9.4</v>
      </c>
      <c r="CG123">
        <v>3.3</v>
      </c>
      <c r="CH123">
        <v>317</v>
      </c>
    </row>
    <row r="124" spans="1:86">
      <c r="A124" s="11" t="s">
        <v>123</v>
      </c>
      <c r="B124" s="18">
        <v>2</v>
      </c>
      <c r="C124" s="18">
        <v>0</v>
      </c>
      <c r="D124" s="18">
        <v>0</v>
      </c>
      <c r="E124" s="18">
        <v>0</v>
      </c>
      <c r="F124" s="18">
        <v>1</v>
      </c>
      <c r="G124" s="18">
        <v>0</v>
      </c>
      <c r="H124" s="18">
        <v>1</v>
      </c>
      <c r="I124" s="18">
        <v>0</v>
      </c>
      <c r="J124">
        <v>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 s="19">
        <v>2870</v>
      </c>
      <c r="AW124" s="19">
        <v>50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222</v>
      </c>
      <c r="BT124">
        <v>36</v>
      </c>
      <c r="BU124" s="54">
        <v>31</v>
      </c>
      <c r="CE124">
        <v>102</v>
      </c>
      <c r="CF124">
        <v>12.5</v>
      </c>
      <c r="CG124">
        <v>3.5</v>
      </c>
      <c r="CH124">
        <v>256</v>
      </c>
    </row>
    <row r="125" spans="1:86">
      <c r="A125" s="11" t="s">
        <v>124</v>
      </c>
      <c r="B125" s="18">
        <v>2</v>
      </c>
      <c r="C125" s="18">
        <v>0</v>
      </c>
      <c r="D125" s="18">
        <v>0</v>
      </c>
      <c r="E125" s="18">
        <v>1</v>
      </c>
      <c r="F125" s="18">
        <v>0</v>
      </c>
      <c r="G125" s="18">
        <v>1</v>
      </c>
      <c r="H125" s="18">
        <v>1</v>
      </c>
      <c r="I125" s="18">
        <v>0</v>
      </c>
      <c r="J125">
        <v>39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 s="19">
        <v>3750</v>
      </c>
      <c r="AW125" s="19">
        <v>52</v>
      </c>
      <c r="BI125">
        <v>1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173</v>
      </c>
      <c r="BT125">
        <v>337</v>
      </c>
      <c r="BU125" s="54">
        <v>23</v>
      </c>
      <c r="CE125" s="14">
        <v>94</v>
      </c>
      <c r="CF125">
        <v>11.8</v>
      </c>
      <c r="CG125">
        <v>3.5</v>
      </c>
      <c r="CH125">
        <v>368</v>
      </c>
    </row>
    <row r="126" spans="1:86">
      <c r="A126" s="2" t="s">
        <v>125</v>
      </c>
      <c r="B126" s="18">
        <v>2</v>
      </c>
      <c r="C126" s="18">
        <v>0</v>
      </c>
      <c r="D126" s="18">
        <v>0</v>
      </c>
      <c r="E126" s="18">
        <v>0</v>
      </c>
      <c r="F126" s="18">
        <v>1</v>
      </c>
      <c r="G126" s="18">
        <v>0</v>
      </c>
      <c r="H126" s="18">
        <v>1</v>
      </c>
      <c r="I126" s="18">
        <v>0</v>
      </c>
      <c r="J126">
        <v>28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 s="19">
        <v>2980</v>
      </c>
      <c r="AW126" s="19">
        <v>49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184</v>
      </c>
      <c r="BT126">
        <v>234</v>
      </c>
      <c r="BU126" s="54">
        <v>22</v>
      </c>
      <c r="CE126">
        <v>105</v>
      </c>
      <c r="CF126">
        <v>13.7</v>
      </c>
      <c r="CG126">
        <v>3.1</v>
      </c>
      <c r="CH126">
        <v>223</v>
      </c>
    </row>
    <row r="127" spans="1:86">
      <c r="A127" s="6" t="s">
        <v>126</v>
      </c>
      <c r="B127" s="18">
        <v>2</v>
      </c>
      <c r="C127" s="18">
        <v>1</v>
      </c>
      <c r="D127" s="18">
        <v>0</v>
      </c>
      <c r="E127" s="18">
        <v>0</v>
      </c>
      <c r="F127" s="18">
        <v>0</v>
      </c>
      <c r="G127" s="18">
        <v>1</v>
      </c>
      <c r="H127" s="18">
        <v>0</v>
      </c>
      <c r="I127" s="18">
        <v>1</v>
      </c>
      <c r="J127">
        <v>38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 s="19">
        <v>3520</v>
      </c>
      <c r="AW127" s="19">
        <v>49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151</v>
      </c>
      <c r="BT127">
        <v>206</v>
      </c>
      <c r="BU127" s="54">
        <v>14</v>
      </c>
      <c r="CE127">
        <v>135</v>
      </c>
      <c r="CF127">
        <v>10.5</v>
      </c>
      <c r="CG127">
        <v>4.0999999999999996</v>
      </c>
      <c r="CH127">
        <v>202</v>
      </c>
    </row>
    <row r="128" spans="1:86">
      <c r="A128" s="11" t="s">
        <v>127</v>
      </c>
      <c r="B128" s="18">
        <v>2</v>
      </c>
      <c r="C128" s="18">
        <v>1</v>
      </c>
      <c r="D128" s="18">
        <v>0</v>
      </c>
      <c r="E128" s="18">
        <v>1</v>
      </c>
      <c r="F128" s="18">
        <v>0</v>
      </c>
      <c r="G128" s="18">
        <v>1</v>
      </c>
      <c r="H128" s="18">
        <v>0</v>
      </c>
      <c r="I128" s="18">
        <v>1</v>
      </c>
      <c r="J128">
        <v>42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 s="19">
        <v>3550</v>
      </c>
      <c r="AW128" s="19">
        <v>54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193</v>
      </c>
      <c r="BT128">
        <v>316</v>
      </c>
      <c r="BU128" s="54">
        <v>22</v>
      </c>
      <c r="CE128">
        <v>112</v>
      </c>
      <c r="CF128">
        <v>14.2</v>
      </c>
      <c r="CG128">
        <v>3.5</v>
      </c>
      <c r="CH128">
        <v>287</v>
      </c>
    </row>
    <row r="129" spans="1:86">
      <c r="A129" s="3" t="s">
        <v>128</v>
      </c>
      <c r="B129" s="18">
        <v>2</v>
      </c>
      <c r="C129" s="18">
        <v>0</v>
      </c>
      <c r="D129" s="18">
        <v>0</v>
      </c>
      <c r="E129" s="18">
        <v>0</v>
      </c>
      <c r="F129" s="18">
        <v>1</v>
      </c>
      <c r="G129" s="18">
        <v>0</v>
      </c>
      <c r="H129" s="18">
        <v>1</v>
      </c>
      <c r="I129" s="18">
        <v>0</v>
      </c>
      <c r="J129" s="1">
        <v>35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 s="12">
        <v>3410</v>
      </c>
      <c r="AW129" s="19">
        <v>50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209</v>
      </c>
      <c r="BT129">
        <v>249</v>
      </c>
      <c r="BU129" s="54">
        <v>17</v>
      </c>
      <c r="CE129">
        <v>113</v>
      </c>
      <c r="CF129">
        <v>11.9</v>
      </c>
      <c r="CG129">
        <v>3.9</v>
      </c>
      <c r="CH129">
        <v>237</v>
      </c>
    </row>
    <row r="130" spans="1:86">
      <c r="A130" s="3" t="s">
        <v>129</v>
      </c>
      <c r="B130" s="18">
        <v>2</v>
      </c>
      <c r="C130" s="18">
        <v>1</v>
      </c>
      <c r="D130" s="18">
        <v>0</v>
      </c>
      <c r="E130" s="18">
        <v>0</v>
      </c>
      <c r="F130" s="18">
        <v>0</v>
      </c>
      <c r="G130" s="18">
        <v>1</v>
      </c>
      <c r="H130" s="18">
        <v>0</v>
      </c>
      <c r="I130" s="18">
        <v>1</v>
      </c>
      <c r="J130" s="1">
        <v>24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 s="12">
        <v>3770</v>
      </c>
      <c r="AW130" s="19">
        <v>53</v>
      </c>
      <c r="BI130">
        <v>1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218</v>
      </c>
      <c r="BT130">
        <v>260</v>
      </c>
      <c r="BU130" s="54">
        <v>25</v>
      </c>
      <c r="CE130">
        <v>119</v>
      </c>
      <c r="CF130">
        <v>8.8000000000000007</v>
      </c>
      <c r="CG130">
        <v>4.4000000000000004</v>
      </c>
      <c r="CH130">
        <v>270</v>
      </c>
    </row>
    <row r="131" spans="1:86">
      <c r="A131" s="2" t="s">
        <v>130</v>
      </c>
      <c r="B131" s="18">
        <v>2</v>
      </c>
      <c r="C131" s="18">
        <v>1</v>
      </c>
      <c r="D131" s="18">
        <v>1</v>
      </c>
      <c r="E131" s="18">
        <v>0</v>
      </c>
      <c r="F131" s="18">
        <v>0</v>
      </c>
      <c r="G131" s="18">
        <v>1</v>
      </c>
      <c r="H131" s="18">
        <v>0</v>
      </c>
      <c r="I131" s="18">
        <v>1</v>
      </c>
      <c r="J131">
        <v>34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 s="19">
        <v>3430</v>
      </c>
      <c r="AW131" s="19">
        <v>52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202</v>
      </c>
      <c r="BT131">
        <v>252</v>
      </c>
      <c r="BU131" s="54">
        <v>15</v>
      </c>
      <c r="CE131">
        <v>128</v>
      </c>
      <c r="CF131">
        <v>6.4</v>
      </c>
      <c r="CG131">
        <v>4.3</v>
      </c>
      <c r="CH131">
        <v>201</v>
      </c>
    </row>
    <row r="132" spans="1:86">
      <c r="A132" s="12" t="s">
        <v>131</v>
      </c>
      <c r="B132" s="18">
        <v>2</v>
      </c>
      <c r="C132" s="18">
        <v>1</v>
      </c>
      <c r="D132" s="18">
        <v>0</v>
      </c>
      <c r="E132" s="18">
        <v>1</v>
      </c>
      <c r="F132" s="18">
        <v>0</v>
      </c>
      <c r="G132" s="18">
        <v>1</v>
      </c>
      <c r="H132" s="18">
        <v>0</v>
      </c>
      <c r="I132" s="18">
        <v>1</v>
      </c>
      <c r="J132" s="1">
        <v>35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 s="12">
        <v>3780</v>
      </c>
      <c r="AW132" s="19">
        <v>54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163</v>
      </c>
      <c r="BT132">
        <v>280</v>
      </c>
      <c r="BU132" s="54">
        <v>13</v>
      </c>
      <c r="CE132">
        <v>108</v>
      </c>
      <c r="CF132">
        <v>10.5</v>
      </c>
      <c r="CG132">
        <v>3.6</v>
      </c>
      <c r="CH132">
        <v>319</v>
      </c>
    </row>
    <row r="133" spans="1:86">
      <c r="A133" s="3" t="s">
        <v>132</v>
      </c>
      <c r="B133" s="18">
        <v>2</v>
      </c>
      <c r="C133" s="18">
        <v>0</v>
      </c>
      <c r="D133" s="18">
        <v>1</v>
      </c>
      <c r="E133" s="18">
        <v>0</v>
      </c>
      <c r="F133" s="18">
        <v>0</v>
      </c>
      <c r="G133" s="18">
        <v>1</v>
      </c>
      <c r="H133" s="18">
        <v>1</v>
      </c>
      <c r="I133" s="18">
        <v>0</v>
      </c>
      <c r="J133" s="1">
        <v>30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 s="24">
        <v>3640</v>
      </c>
      <c r="AW133" s="19">
        <v>51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162</v>
      </c>
      <c r="BT133">
        <v>273</v>
      </c>
      <c r="BU133" s="54">
        <v>21</v>
      </c>
      <c r="CE133">
        <v>103</v>
      </c>
      <c r="CF133">
        <v>12.1</v>
      </c>
      <c r="CG133">
        <v>3.4</v>
      </c>
      <c r="CH133">
        <v>295</v>
      </c>
    </row>
    <row r="134" spans="1:86">
      <c r="A134" s="12" t="s">
        <v>133</v>
      </c>
      <c r="B134" s="18">
        <v>2</v>
      </c>
      <c r="C134" s="18">
        <v>1</v>
      </c>
      <c r="D134" s="18">
        <v>0</v>
      </c>
      <c r="E134" s="18">
        <v>1</v>
      </c>
      <c r="F134" s="18">
        <v>0</v>
      </c>
      <c r="G134" s="18">
        <v>1</v>
      </c>
      <c r="H134" s="18">
        <v>0</v>
      </c>
      <c r="I134" s="18">
        <v>1</v>
      </c>
      <c r="J134" s="17">
        <v>34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 s="12">
        <v>3390</v>
      </c>
      <c r="AW134" s="19">
        <v>52</v>
      </c>
      <c r="BI134">
        <v>1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174</v>
      </c>
      <c r="BT134">
        <v>257</v>
      </c>
      <c r="BU134" s="54">
        <v>19</v>
      </c>
      <c r="CE134">
        <v>136</v>
      </c>
      <c r="CF134">
        <v>9.5</v>
      </c>
      <c r="CG134">
        <v>4.7</v>
      </c>
      <c r="CH134">
        <v>216</v>
      </c>
    </row>
    <row r="135" spans="1:86">
      <c r="A135" s="3" t="s">
        <v>134</v>
      </c>
      <c r="B135" s="18">
        <v>2</v>
      </c>
      <c r="C135" s="18">
        <v>0</v>
      </c>
      <c r="D135" s="18">
        <v>0</v>
      </c>
      <c r="E135" s="18">
        <v>0</v>
      </c>
      <c r="F135" s="18">
        <v>1</v>
      </c>
      <c r="G135" s="18">
        <v>0</v>
      </c>
      <c r="H135" s="18">
        <v>1</v>
      </c>
      <c r="I135" s="18">
        <v>0</v>
      </c>
      <c r="J135" s="1">
        <v>35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 s="18">
        <v>3220</v>
      </c>
      <c r="AW135" s="19">
        <v>51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151</v>
      </c>
      <c r="BT135">
        <v>473</v>
      </c>
      <c r="BU135" s="54">
        <v>8</v>
      </c>
      <c r="CE135">
        <v>119</v>
      </c>
      <c r="CF135">
        <v>11.1</v>
      </c>
      <c r="CG135">
        <v>3.9</v>
      </c>
      <c r="CH135">
        <v>356</v>
      </c>
    </row>
    <row r="136" spans="1:86">
      <c r="A136" s="3" t="s">
        <v>135</v>
      </c>
      <c r="B136" s="18">
        <v>2</v>
      </c>
      <c r="C136" s="18">
        <v>0</v>
      </c>
      <c r="D136" s="18">
        <v>0</v>
      </c>
      <c r="E136" s="18">
        <v>0</v>
      </c>
      <c r="F136" s="18">
        <v>1</v>
      </c>
      <c r="G136" s="18">
        <v>0</v>
      </c>
      <c r="H136" s="18">
        <v>1</v>
      </c>
      <c r="I136" s="18">
        <v>0</v>
      </c>
      <c r="J136" s="1">
        <v>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 s="18">
        <v>3580</v>
      </c>
      <c r="AW136" s="19">
        <v>53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188</v>
      </c>
      <c r="BT136">
        <v>335</v>
      </c>
      <c r="BU136" s="54">
        <v>25</v>
      </c>
      <c r="CE136">
        <v>107</v>
      </c>
      <c r="CF136">
        <v>10.9</v>
      </c>
      <c r="CG136">
        <v>3.2</v>
      </c>
      <c r="CH136">
        <v>179</v>
      </c>
    </row>
    <row r="137" spans="1:86">
      <c r="A137" s="3" t="s">
        <v>136</v>
      </c>
      <c r="B137" s="18">
        <v>2</v>
      </c>
      <c r="C137" s="18">
        <v>1</v>
      </c>
      <c r="D137" s="18">
        <v>0</v>
      </c>
      <c r="E137" s="18">
        <v>0</v>
      </c>
      <c r="F137" s="18">
        <v>0</v>
      </c>
      <c r="G137" s="18">
        <v>1</v>
      </c>
      <c r="H137" s="18">
        <v>0</v>
      </c>
      <c r="I137" s="18">
        <v>1</v>
      </c>
      <c r="J137" s="1">
        <v>33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 s="12">
        <v>3210</v>
      </c>
      <c r="AW137" s="19">
        <v>52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209</v>
      </c>
      <c r="BT137">
        <v>357</v>
      </c>
      <c r="BU137" s="54">
        <v>27</v>
      </c>
      <c r="CE137">
        <v>126</v>
      </c>
      <c r="CF137">
        <v>8.4</v>
      </c>
      <c r="CG137">
        <v>4.3</v>
      </c>
      <c r="CH137">
        <v>256</v>
      </c>
    </row>
    <row r="138" spans="1:86">
      <c r="A138" s="2" t="s">
        <v>137</v>
      </c>
      <c r="B138" s="18">
        <v>2</v>
      </c>
      <c r="C138" s="18">
        <v>0</v>
      </c>
      <c r="D138" s="18">
        <v>0</v>
      </c>
      <c r="E138" s="18">
        <v>0</v>
      </c>
      <c r="F138" s="18">
        <v>1</v>
      </c>
      <c r="G138" s="18">
        <v>0</v>
      </c>
      <c r="H138" s="18">
        <v>1</v>
      </c>
      <c r="I138" s="18">
        <v>0</v>
      </c>
      <c r="J138">
        <v>40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 s="19">
        <v>3700</v>
      </c>
      <c r="AW138" s="19">
        <v>53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171</v>
      </c>
      <c r="BT138">
        <v>280</v>
      </c>
      <c r="BU138" s="54">
        <v>11</v>
      </c>
      <c r="CE138">
        <v>103</v>
      </c>
      <c r="CF138">
        <v>15.1</v>
      </c>
      <c r="CG138">
        <v>3.5</v>
      </c>
      <c r="CH138">
        <v>156</v>
      </c>
    </row>
    <row r="139" spans="1:86">
      <c r="A139" s="2" t="s">
        <v>138</v>
      </c>
      <c r="B139" s="18">
        <v>2</v>
      </c>
      <c r="C139" s="18">
        <v>1</v>
      </c>
      <c r="D139" s="18">
        <v>0</v>
      </c>
      <c r="E139" s="18">
        <v>0</v>
      </c>
      <c r="F139" s="18">
        <v>0</v>
      </c>
      <c r="G139" s="18">
        <v>1</v>
      </c>
      <c r="H139" s="18">
        <v>0</v>
      </c>
      <c r="I139" s="18">
        <v>1</v>
      </c>
      <c r="J139">
        <v>32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 s="19">
        <v>4120</v>
      </c>
      <c r="AW139" s="19">
        <v>54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185</v>
      </c>
      <c r="BT139">
        <v>265</v>
      </c>
      <c r="BU139" s="54">
        <v>7</v>
      </c>
      <c r="CE139" s="14">
        <v>94</v>
      </c>
      <c r="CF139">
        <v>11.6</v>
      </c>
      <c r="CG139">
        <v>3.3</v>
      </c>
      <c r="CH139">
        <v>317</v>
      </c>
    </row>
    <row r="140" spans="1:86">
      <c r="A140" s="2" t="s">
        <v>139</v>
      </c>
      <c r="B140" s="18">
        <v>2</v>
      </c>
      <c r="C140" s="18">
        <v>0</v>
      </c>
      <c r="D140" s="18">
        <v>0</v>
      </c>
      <c r="E140" s="18">
        <v>0</v>
      </c>
      <c r="F140" s="18">
        <v>1</v>
      </c>
      <c r="G140" s="18">
        <v>0</v>
      </c>
      <c r="H140" s="18">
        <v>1</v>
      </c>
      <c r="I140" s="18">
        <v>0</v>
      </c>
      <c r="J140">
        <v>43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 s="19">
        <v>3350</v>
      </c>
      <c r="AW140" s="19">
        <v>52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179</v>
      </c>
      <c r="BT140">
        <v>389</v>
      </c>
      <c r="BU140" s="54">
        <v>17</v>
      </c>
      <c r="CE140" s="14">
        <v>99</v>
      </c>
      <c r="CF140">
        <v>14.7</v>
      </c>
      <c r="CG140">
        <v>3.1</v>
      </c>
      <c r="CH140">
        <v>216</v>
      </c>
    </row>
    <row r="141" spans="1:86">
      <c r="A141" s="2" t="s">
        <v>140</v>
      </c>
      <c r="B141" s="18">
        <v>2</v>
      </c>
      <c r="C141" s="18">
        <v>0</v>
      </c>
      <c r="D141" s="18">
        <v>0</v>
      </c>
      <c r="E141" s="18">
        <v>0</v>
      </c>
      <c r="F141" s="18">
        <v>1</v>
      </c>
      <c r="G141" s="18">
        <v>0</v>
      </c>
      <c r="H141" s="18">
        <v>1</v>
      </c>
      <c r="I141" s="18">
        <v>0</v>
      </c>
      <c r="J141">
        <v>27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 s="19">
        <v>3970</v>
      </c>
      <c r="AW141" s="19">
        <v>54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201</v>
      </c>
      <c r="BT141">
        <v>85</v>
      </c>
      <c r="BU141" s="54">
        <v>39</v>
      </c>
      <c r="CE141">
        <v>100</v>
      </c>
      <c r="CF141">
        <v>11.1</v>
      </c>
      <c r="CG141">
        <v>3.4</v>
      </c>
      <c r="CH141">
        <v>315</v>
      </c>
    </row>
    <row r="142" spans="1:86">
      <c r="A142" s="2" t="s">
        <v>141</v>
      </c>
      <c r="B142" s="18">
        <v>2</v>
      </c>
      <c r="C142" s="18">
        <v>1</v>
      </c>
      <c r="D142" s="18">
        <v>0</v>
      </c>
      <c r="E142" s="18">
        <v>0</v>
      </c>
      <c r="F142" s="18">
        <v>0</v>
      </c>
      <c r="G142" s="18">
        <v>1</v>
      </c>
      <c r="H142" s="18">
        <v>0</v>
      </c>
      <c r="I142" s="18">
        <v>1</v>
      </c>
      <c r="J142">
        <v>38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 s="19">
        <v>4150</v>
      </c>
      <c r="AW142" s="19">
        <v>56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199</v>
      </c>
      <c r="BT142">
        <v>225</v>
      </c>
      <c r="BU142" s="54">
        <v>17</v>
      </c>
      <c r="CE142">
        <v>106</v>
      </c>
      <c r="CF142">
        <v>6</v>
      </c>
      <c r="CG142">
        <v>3.7</v>
      </c>
      <c r="CH142">
        <v>203</v>
      </c>
    </row>
    <row r="143" spans="1:86">
      <c r="A143" s="2" t="s">
        <v>142</v>
      </c>
      <c r="B143" s="18">
        <v>2</v>
      </c>
      <c r="C143" s="18">
        <v>1</v>
      </c>
      <c r="D143" s="18">
        <v>1</v>
      </c>
      <c r="E143" s="18">
        <v>1</v>
      </c>
      <c r="F143" s="18">
        <v>0</v>
      </c>
      <c r="G143" s="18">
        <v>1</v>
      </c>
      <c r="H143" s="18">
        <v>0</v>
      </c>
      <c r="I143" s="18">
        <v>1</v>
      </c>
      <c r="J143">
        <v>37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 s="19">
        <v>3130</v>
      </c>
      <c r="AW143" s="19">
        <v>52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216</v>
      </c>
      <c r="BT143">
        <v>261</v>
      </c>
      <c r="BU143" s="54">
        <v>21</v>
      </c>
      <c r="CE143">
        <v>126</v>
      </c>
      <c r="CF143">
        <v>8.4</v>
      </c>
      <c r="CG143">
        <v>4.0999999999999996</v>
      </c>
      <c r="CH143">
        <v>238</v>
      </c>
    </row>
    <row r="144" spans="1:86">
      <c r="A144" s="2" t="s">
        <v>143</v>
      </c>
      <c r="B144" s="18">
        <v>2</v>
      </c>
      <c r="C144" s="18">
        <v>0</v>
      </c>
      <c r="D144" s="18">
        <v>0</v>
      </c>
      <c r="E144" s="18">
        <v>0</v>
      </c>
      <c r="F144" s="18">
        <v>1</v>
      </c>
      <c r="G144" s="18">
        <v>0</v>
      </c>
      <c r="H144" s="18">
        <v>1</v>
      </c>
      <c r="I144" s="18">
        <v>0</v>
      </c>
      <c r="J144">
        <v>19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 s="19">
        <v>3290</v>
      </c>
      <c r="AW144" s="19">
        <v>52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198</v>
      </c>
      <c r="BT144">
        <v>232</v>
      </c>
      <c r="BU144" s="54">
        <v>15</v>
      </c>
      <c r="CE144">
        <v>114</v>
      </c>
      <c r="CF144">
        <v>12.6</v>
      </c>
      <c r="CG144">
        <v>3.9</v>
      </c>
      <c r="CH144">
        <v>464</v>
      </c>
    </row>
    <row r="145" spans="1:86">
      <c r="A145" s="2" t="s">
        <v>144</v>
      </c>
      <c r="B145" s="18">
        <v>2</v>
      </c>
      <c r="C145" s="18">
        <v>1</v>
      </c>
      <c r="D145" s="18">
        <v>1</v>
      </c>
      <c r="E145" s="18">
        <v>0</v>
      </c>
      <c r="F145" s="18">
        <v>0</v>
      </c>
      <c r="G145" s="18">
        <v>1</v>
      </c>
      <c r="H145" s="18">
        <v>0</v>
      </c>
      <c r="I145" s="18">
        <v>1</v>
      </c>
      <c r="J145">
        <v>37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 s="19">
        <v>3730</v>
      </c>
      <c r="AW145" s="19">
        <v>52</v>
      </c>
      <c r="BI145">
        <v>1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159</v>
      </c>
      <c r="BT145">
        <v>369</v>
      </c>
      <c r="BU145" s="54">
        <v>18</v>
      </c>
      <c r="CE145">
        <v>132</v>
      </c>
      <c r="CF145">
        <v>8.9</v>
      </c>
      <c r="CG145">
        <v>4.4000000000000004</v>
      </c>
      <c r="CH145">
        <v>210</v>
      </c>
    </row>
    <row r="146" spans="1:86">
      <c r="A146" s="2" t="s">
        <v>145</v>
      </c>
      <c r="B146" s="18">
        <v>2</v>
      </c>
      <c r="C146" s="18">
        <v>0</v>
      </c>
      <c r="D146" s="18">
        <v>0</v>
      </c>
      <c r="E146" s="18">
        <v>0</v>
      </c>
      <c r="F146" s="18">
        <v>1</v>
      </c>
      <c r="G146" s="18">
        <v>0</v>
      </c>
      <c r="H146" s="18">
        <v>1</v>
      </c>
      <c r="I146" s="18">
        <v>0</v>
      </c>
      <c r="J146">
        <v>31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 s="19">
        <v>3890</v>
      </c>
      <c r="AW146" s="19">
        <v>52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182</v>
      </c>
      <c r="BT146">
        <v>285</v>
      </c>
      <c r="BU146" s="54">
        <v>25</v>
      </c>
      <c r="CE146">
        <v>132</v>
      </c>
      <c r="CF146">
        <v>9.9</v>
      </c>
      <c r="CG146">
        <v>4.0999999999999996</v>
      </c>
      <c r="CH146">
        <v>400</v>
      </c>
    </row>
    <row r="147" spans="1:86">
      <c r="A147" s="2" t="s">
        <v>146</v>
      </c>
      <c r="B147" s="18">
        <v>2</v>
      </c>
      <c r="C147" s="18">
        <v>1</v>
      </c>
      <c r="D147" s="18">
        <v>1</v>
      </c>
      <c r="E147" s="18">
        <v>1</v>
      </c>
      <c r="F147" s="18">
        <v>0</v>
      </c>
      <c r="G147" s="18">
        <v>1</v>
      </c>
      <c r="H147" s="18">
        <v>0</v>
      </c>
      <c r="I147" s="18">
        <v>1</v>
      </c>
      <c r="J147">
        <v>39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 s="19">
        <v>2980</v>
      </c>
      <c r="AW147" s="19">
        <v>50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193</v>
      </c>
      <c r="BT147">
        <v>379</v>
      </c>
      <c r="BU147" s="54">
        <v>27</v>
      </c>
      <c r="CE147">
        <v>129</v>
      </c>
      <c r="CF147">
        <v>13.5</v>
      </c>
      <c r="CG147">
        <v>3.9</v>
      </c>
      <c r="CH147">
        <v>233</v>
      </c>
    </row>
    <row r="148" spans="1:86">
      <c r="A148" s="2" t="s">
        <v>147</v>
      </c>
      <c r="B148" s="18">
        <v>2</v>
      </c>
      <c r="C148" s="18">
        <v>0</v>
      </c>
      <c r="D148" s="18">
        <v>0</v>
      </c>
      <c r="E148" s="18">
        <v>0</v>
      </c>
      <c r="F148" s="18">
        <v>1</v>
      </c>
      <c r="G148" s="18">
        <v>0</v>
      </c>
      <c r="H148" s="18">
        <v>1</v>
      </c>
      <c r="I148" s="18">
        <v>0</v>
      </c>
      <c r="J148">
        <v>30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 s="19">
        <v>2930</v>
      </c>
      <c r="AW148" s="19">
        <v>49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162</v>
      </c>
      <c r="BT148">
        <v>262</v>
      </c>
      <c r="BU148" s="54">
        <v>20</v>
      </c>
      <c r="CE148" s="14">
        <v>90</v>
      </c>
      <c r="CF148">
        <v>11.4</v>
      </c>
      <c r="CG148">
        <v>2.8</v>
      </c>
      <c r="CH148">
        <v>188</v>
      </c>
    </row>
    <row r="149" spans="1:86">
      <c r="A149" s="2" t="s">
        <v>148</v>
      </c>
      <c r="B149" s="18">
        <v>2</v>
      </c>
      <c r="C149" s="18">
        <v>1</v>
      </c>
      <c r="D149" s="18">
        <v>0</v>
      </c>
      <c r="E149" s="18">
        <v>0</v>
      </c>
      <c r="F149" s="18">
        <v>0</v>
      </c>
      <c r="G149" s="18">
        <v>1</v>
      </c>
      <c r="H149" s="18">
        <v>0</v>
      </c>
      <c r="I149" s="18">
        <v>1</v>
      </c>
      <c r="J149">
        <v>39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 s="19">
        <v>4100</v>
      </c>
      <c r="AW149" s="19">
        <v>52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208</v>
      </c>
      <c r="BT149">
        <v>217</v>
      </c>
      <c r="BU149" s="54">
        <v>24</v>
      </c>
      <c r="CE149">
        <v>100</v>
      </c>
      <c r="CF149">
        <v>10.1</v>
      </c>
      <c r="CG149">
        <v>3</v>
      </c>
      <c r="CH149">
        <v>178</v>
      </c>
    </row>
    <row r="150" spans="1:86" s="97" customFormat="1">
      <c r="A150" s="97" t="s">
        <v>149</v>
      </c>
      <c r="B150" s="99">
        <v>3</v>
      </c>
      <c r="C150" s="99">
        <v>1</v>
      </c>
      <c r="D150" s="99">
        <v>1</v>
      </c>
      <c r="E150" s="99">
        <v>1</v>
      </c>
      <c r="F150" s="99">
        <v>0</v>
      </c>
      <c r="G150" s="99">
        <v>1</v>
      </c>
      <c r="H150" s="99">
        <v>0</v>
      </c>
      <c r="I150" s="99">
        <v>1</v>
      </c>
      <c r="J150" s="97">
        <v>33</v>
      </c>
      <c r="U150" s="97">
        <v>1</v>
      </c>
      <c r="V150" s="97">
        <v>0</v>
      </c>
      <c r="W150" s="97">
        <v>0</v>
      </c>
      <c r="X150" s="97">
        <v>0</v>
      </c>
      <c r="Y150" s="97">
        <v>1</v>
      </c>
      <c r="Z150" s="97">
        <v>0</v>
      </c>
      <c r="AA150" s="97">
        <v>0</v>
      </c>
      <c r="AB150" s="97">
        <v>0</v>
      </c>
      <c r="AC150" s="97">
        <v>0</v>
      </c>
      <c r="AD150" s="97">
        <v>0</v>
      </c>
      <c r="AE150" s="97">
        <v>0</v>
      </c>
      <c r="AF150" s="97">
        <v>0</v>
      </c>
      <c r="AG150" s="97">
        <v>0</v>
      </c>
      <c r="AH150" s="97">
        <v>0</v>
      </c>
      <c r="AI150" s="97">
        <v>0</v>
      </c>
      <c r="AJ150" s="97">
        <v>0</v>
      </c>
      <c r="AK150" s="97">
        <v>0</v>
      </c>
      <c r="AL150" s="97">
        <v>0</v>
      </c>
      <c r="AM150" s="97">
        <v>0</v>
      </c>
      <c r="AN150" s="97">
        <v>1</v>
      </c>
      <c r="AO150" s="97">
        <v>0</v>
      </c>
      <c r="AP150" s="97">
        <v>0</v>
      </c>
      <c r="AQ150" s="97">
        <v>0</v>
      </c>
      <c r="AR150" s="97">
        <v>0</v>
      </c>
      <c r="AS150" s="97">
        <v>1</v>
      </c>
      <c r="AT150" s="97">
        <v>0</v>
      </c>
      <c r="AU150" s="97">
        <v>0</v>
      </c>
      <c r="AV150" s="101">
        <v>2860</v>
      </c>
      <c r="AW150" s="101">
        <v>49</v>
      </c>
      <c r="AX150" s="101">
        <v>2260</v>
      </c>
      <c r="AY150" s="101">
        <v>46</v>
      </c>
      <c r="AZ150" s="101"/>
      <c r="BA150" s="101"/>
      <c r="BB150" s="101"/>
      <c r="BC150" s="101"/>
      <c r="BD150" s="101"/>
      <c r="BI150" s="97">
        <v>0</v>
      </c>
      <c r="BJ150" s="97">
        <v>0</v>
      </c>
      <c r="BK150" s="97">
        <v>0</v>
      </c>
      <c r="BL150" s="97">
        <v>0</v>
      </c>
      <c r="BM150" s="97">
        <v>0</v>
      </c>
      <c r="BN150" s="97">
        <v>1</v>
      </c>
      <c r="BO150" s="97">
        <v>0</v>
      </c>
      <c r="BP150" s="97">
        <v>0</v>
      </c>
      <c r="BQ150" s="97">
        <v>1</v>
      </c>
      <c r="BR150" s="97">
        <v>0</v>
      </c>
      <c r="BS150" s="97">
        <v>186</v>
      </c>
      <c r="BT150" s="97">
        <v>210</v>
      </c>
      <c r="BU150" s="102">
        <v>20</v>
      </c>
      <c r="BV150" s="97">
        <v>220</v>
      </c>
      <c r="BW150" s="97">
        <v>263</v>
      </c>
      <c r="BX150" s="97">
        <v>21</v>
      </c>
      <c r="CE150" s="97">
        <v>87</v>
      </c>
      <c r="CF150" s="97">
        <v>8.8000000000000007</v>
      </c>
      <c r="CG150" s="97">
        <v>3.4</v>
      </c>
      <c r="CH150" s="97">
        <v>239</v>
      </c>
    </row>
    <row r="151" spans="1:86">
      <c r="A151" t="s">
        <v>150</v>
      </c>
      <c r="B151" s="18">
        <v>3</v>
      </c>
      <c r="C151" s="18">
        <v>0</v>
      </c>
      <c r="D151" s="18">
        <v>0</v>
      </c>
      <c r="E151" s="18">
        <v>0</v>
      </c>
      <c r="F151" s="18">
        <v>1</v>
      </c>
      <c r="G151" s="18">
        <v>0</v>
      </c>
      <c r="H151" s="18">
        <v>1</v>
      </c>
      <c r="I151" s="18">
        <v>0</v>
      </c>
      <c r="J151">
        <v>27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 s="19">
        <v>3400</v>
      </c>
      <c r="AW151" s="19">
        <v>53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161</v>
      </c>
      <c r="BT151">
        <v>260</v>
      </c>
      <c r="BU151" s="54">
        <v>17</v>
      </c>
      <c r="CE151">
        <v>112</v>
      </c>
      <c r="CF151">
        <v>11</v>
      </c>
      <c r="CG151">
        <v>3.8</v>
      </c>
      <c r="CH151">
        <v>184</v>
      </c>
    </row>
    <row r="152" spans="1:86">
      <c r="A152" t="s">
        <v>151</v>
      </c>
      <c r="B152" s="18">
        <v>3</v>
      </c>
      <c r="C152" s="18">
        <v>1</v>
      </c>
      <c r="D152" s="18">
        <v>0</v>
      </c>
      <c r="E152" s="18">
        <v>1</v>
      </c>
      <c r="F152" s="18">
        <v>0</v>
      </c>
      <c r="G152" s="18">
        <v>1</v>
      </c>
      <c r="H152" s="18">
        <v>0</v>
      </c>
      <c r="I152" s="18">
        <v>1</v>
      </c>
      <c r="J152">
        <v>41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 s="19">
        <v>2850</v>
      </c>
      <c r="AW152" s="19">
        <v>48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</v>
      </c>
      <c r="BQ152">
        <v>0</v>
      </c>
      <c r="BR152">
        <v>0</v>
      </c>
      <c r="BS152">
        <v>238</v>
      </c>
      <c r="BT152">
        <v>148</v>
      </c>
      <c r="BU152" s="54">
        <v>18</v>
      </c>
      <c r="CE152">
        <v>103</v>
      </c>
      <c r="CF152">
        <v>11.6</v>
      </c>
      <c r="CG152">
        <v>3.1</v>
      </c>
      <c r="CH152">
        <v>181</v>
      </c>
    </row>
    <row r="153" spans="1:86">
      <c r="A153" t="s">
        <v>152</v>
      </c>
      <c r="B153" s="18">
        <v>3</v>
      </c>
      <c r="C153" s="18">
        <v>0</v>
      </c>
      <c r="D153" s="18">
        <v>0</v>
      </c>
      <c r="E153" s="18">
        <v>1</v>
      </c>
      <c r="F153" s="18">
        <v>0</v>
      </c>
      <c r="G153" s="18">
        <v>1</v>
      </c>
      <c r="H153" s="18">
        <v>1</v>
      </c>
      <c r="I153" s="18">
        <v>0</v>
      </c>
      <c r="J153">
        <v>33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 s="19">
        <v>3800</v>
      </c>
      <c r="AW153" s="19">
        <v>53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185</v>
      </c>
      <c r="BT153">
        <v>348</v>
      </c>
      <c r="BU153" s="54">
        <v>17</v>
      </c>
      <c r="CE153">
        <v>126</v>
      </c>
      <c r="CF153">
        <v>8.5</v>
      </c>
      <c r="CG153">
        <v>4</v>
      </c>
      <c r="CH153">
        <v>192</v>
      </c>
    </row>
    <row r="154" spans="1:86">
      <c r="A154" t="s">
        <v>153</v>
      </c>
      <c r="B154" s="18">
        <v>3</v>
      </c>
      <c r="C154" s="18">
        <v>1</v>
      </c>
      <c r="D154" s="18">
        <v>0</v>
      </c>
      <c r="E154" s="18">
        <v>0</v>
      </c>
      <c r="F154" s="18">
        <v>0</v>
      </c>
      <c r="G154" s="18">
        <v>1</v>
      </c>
      <c r="H154" s="18">
        <v>0</v>
      </c>
      <c r="I154" s="18">
        <v>1</v>
      </c>
      <c r="J154">
        <v>38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 s="19">
        <v>4062</v>
      </c>
      <c r="AW154" s="19">
        <v>56</v>
      </c>
      <c r="BI154">
        <v>0</v>
      </c>
      <c r="BJ154">
        <v>1</v>
      </c>
      <c r="BK154">
        <v>1</v>
      </c>
      <c r="BL154">
        <v>1</v>
      </c>
      <c r="BM154">
        <v>0</v>
      </c>
      <c r="BN154">
        <v>0</v>
      </c>
      <c r="BO154">
        <v>1</v>
      </c>
      <c r="BP154">
        <v>1</v>
      </c>
      <c r="BQ154">
        <v>0</v>
      </c>
      <c r="BR154">
        <v>0</v>
      </c>
      <c r="BS154">
        <v>187</v>
      </c>
      <c r="BT154">
        <v>217</v>
      </c>
      <c r="BU154" s="54">
        <v>27</v>
      </c>
      <c r="CE154">
        <v>101</v>
      </c>
      <c r="CF154">
        <v>8.4</v>
      </c>
      <c r="CG154">
        <v>3.5</v>
      </c>
      <c r="CH154">
        <v>231</v>
      </c>
    </row>
    <row r="155" spans="1:86">
      <c r="A155" t="s">
        <v>154</v>
      </c>
      <c r="B155" s="18">
        <v>3</v>
      </c>
      <c r="C155" s="18">
        <v>1</v>
      </c>
      <c r="D155" s="18">
        <v>0</v>
      </c>
      <c r="E155" s="18">
        <v>0</v>
      </c>
      <c r="F155" s="18">
        <v>0</v>
      </c>
      <c r="G155" s="18">
        <v>1</v>
      </c>
      <c r="H155" s="18">
        <v>0</v>
      </c>
      <c r="I155" s="18">
        <v>1</v>
      </c>
      <c r="J155">
        <v>34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 s="19">
        <v>2570</v>
      </c>
      <c r="AW155" s="19">
        <v>48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1</v>
      </c>
      <c r="BQ155">
        <v>1</v>
      </c>
      <c r="BR155">
        <v>0</v>
      </c>
      <c r="BS155">
        <v>194</v>
      </c>
      <c r="BT155">
        <v>226</v>
      </c>
      <c r="BU155" s="54">
        <v>16</v>
      </c>
      <c r="CE155">
        <v>137</v>
      </c>
      <c r="CF155">
        <v>12</v>
      </c>
      <c r="CG155">
        <v>4.2</v>
      </c>
      <c r="CH155">
        <v>270</v>
      </c>
    </row>
    <row r="156" spans="1:86">
      <c r="A156" t="s">
        <v>155</v>
      </c>
      <c r="B156" s="18">
        <v>3</v>
      </c>
      <c r="C156" s="18">
        <v>0</v>
      </c>
      <c r="D156" s="18">
        <v>0</v>
      </c>
      <c r="E156" s="18">
        <v>0</v>
      </c>
      <c r="F156" s="18">
        <v>1</v>
      </c>
      <c r="G156" s="18">
        <v>0</v>
      </c>
      <c r="H156" s="18">
        <v>1</v>
      </c>
      <c r="I156" s="18">
        <v>0</v>
      </c>
      <c r="J156">
        <v>33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 s="19">
        <v>2380</v>
      </c>
      <c r="AW156" s="19">
        <v>45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215</v>
      </c>
      <c r="BT156">
        <v>274</v>
      </c>
      <c r="BU156" s="54">
        <v>14</v>
      </c>
      <c r="CE156">
        <v>121</v>
      </c>
      <c r="CF156">
        <v>10</v>
      </c>
      <c r="CG156">
        <v>4</v>
      </c>
      <c r="CH156">
        <v>302</v>
      </c>
    </row>
    <row r="157" spans="1:86">
      <c r="A157" t="s">
        <v>156</v>
      </c>
      <c r="B157" s="18">
        <v>3</v>
      </c>
      <c r="C157" s="18">
        <v>0</v>
      </c>
      <c r="D157" s="18">
        <v>0</v>
      </c>
      <c r="E157" s="18">
        <v>0</v>
      </c>
      <c r="F157" s="18">
        <v>1</v>
      </c>
      <c r="G157" s="18">
        <v>0</v>
      </c>
      <c r="H157" s="18">
        <v>1</v>
      </c>
      <c r="I157" s="18">
        <v>0</v>
      </c>
      <c r="J157">
        <v>29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 s="19">
        <v>3950</v>
      </c>
      <c r="AW157" s="19">
        <v>53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1</v>
      </c>
      <c r="BQ157">
        <v>1</v>
      </c>
      <c r="BR157">
        <v>0</v>
      </c>
      <c r="BS157">
        <v>163</v>
      </c>
      <c r="BT157">
        <v>248</v>
      </c>
      <c r="BU157" s="54">
        <v>12</v>
      </c>
      <c r="CE157">
        <v>109</v>
      </c>
      <c r="CF157">
        <v>9.4</v>
      </c>
      <c r="CG157">
        <v>3.7</v>
      </c>
      <c r="CH157">
        <v>200</v>
      </c>
    </row>
    <row r="158" spans="1:86">
      <c r="A158" t="s">
        <v>157</v>
      </c>
      <c r="B158" s="18">
        <v>3</v>
      </c>
      <c r="C158" s="18">
        <v>0</v>
      </c>
      <c r="D158" s="18">
        <v>0</v>
      </c>
      <c r="E158" s="18">
        <v>0</v>
      </c>
      <c r="F158" s="18">
        <v>1</v>
      </c>
      <c r="G158" s="18">
        <v>0</v>
      </c>
      <c r="H158" s="18">
        <v>1</v>
      </c>
      <c r="I158" s="18">
        <v>0</v>
      </c>
      <c r="J158">
        <v>22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 s="19">
        <v>3800</v>
      </c>
      <c r="AW158" s="19">
        <v>53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CE158">
        <v>118</v>
      </c>
      <c r="CF158">
        <v>11</v>
      </c>
      <c r="CG158">
        <v>3.8</v>
      </c>
      <c r="CH158">
        <v>249</v>
      </c>
    </row>
    <row r="159" spans="1:86">
      <c r="A159" t="s">
        <v>158</v>
      </c>
      <c r="B159" s="18">
        <v>3</v>
      </c>
      <c r="C159" s="18">
        <v>0</v>
      </c>
      <c r="D159" s="18">
        <v>1</v>
      </c>
      <c r="E159" s="18">
        <v>1</v>
      </c>
      <c r="F159" s="18">
        <v>0</v>
      </c>
      <c r="G159" s="18">
        <v>1</v>
      </c>
      <c r="H159" s="18">
        <v>1</v>
      </c>
      <c r="I159" s="18">
        <v>0</v>
      </c>
      <c r="J159">
        <v>31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 s="19">
        <v>3550</v>
      </c>
      <c r="AW159" s="19">
        <v>53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165</v>
      </c>
      <c r="BT159">
        <v>249</v>
      </c>
      <c r="BU159" s="54">
        <v>20</v>
      </c>
      <c r="CE159" s="14">
        <v>88</v>
      </c>
      <c r="CF159">
        <v>11.2</v>
      </c>
      <c r="CG159">
        <v>2.8</v>
      </c>
      <c r="CH159">
        <v>263</v>
      </c>
    </row>
    <row r="160" spans="1:86">
      <c r="A160" t="s">
        <v>159</v>
      </c>
      <c r="B160" s="18">
        <v>3</v>
      </c>
      <c r="C160" s="18">
        <v>1</v>
      </c>
      <c r="D160" s="18">
        <v>1</v>
      </c>
      <c r="E160" s="18">
        <v>1</v>
      </c>
      <c r="F160" s="18">
        <v>0</v>
      </c>
      <c r="G160" s="18">
        <v>1</v>
      </c>
      <c r="H160" s="18">
        <v>0</v>
      </c>
      <c r="I160" s="18">
        <v>1</v>
      </c>
      <c r="J160">
        <v>27</v>
      </c>
      <c r="U160">
        <v>0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 s="19">
        <v>3450</v>
      </c>
      <c r="AW160" s="19">
        <v>52</v>
      </c>
      <c r="BI160">
        <v>0</v>
      </c>
      <c r="BJ160">
        <v>0</v>
      </c>
      <c r="BK160">
        <v>1</v>
      </c>
      <c r="BL160">
        <v>0</v>
      </c>
      <c r="BM160">
        <v>1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171</v>
      </c>
      <c r="BT160">
        <v>161</v>
      </c>
      <c r="BU160" s="54">
        <v>16</v>
      </c>
      <c r="CE160">
        <v>128</v>
      </c>
      <c r="CF160">
        <v>9.9</v>
      </c>
      <c r="CG160">
        <v>5.0999999999999996</v>
      </c>
      <c r="CH160">
        <v>324</v>
      </c>
    </row>
    <row r="161" spans="1:86">
      <c r="A161" t="s">
        <v>160</v>
      </c>
      <c r="B161" s="18">
        <v>3</v>
      </c>
      <c r="C161" s="18">
        <v>0</v>
      </c>
      <c r="D161" s="18">
        <v>0</v>
      </c>
      <c r="E161" s="18">
        <v>0</v>
      </c>
      <c r="F161" s="18">
        <v>1</v>
      </c>
      <c r="G161" s="18">
        <v>0</v>
      </c>
      <c r="H161" s="18">
        <v>1</v>
      </c>
      <c r="I161" s="18">
        <v>0</v>
      </c>
      <c r="J161">
        <v>28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 s="19">
        <v>3070</v>
      </c>
      <c r="AW161" s="19">
        <v>49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 s="14">
        <v>127</v>
      </c>
      <c r="BT161">
        <v>499</v>
      </c>
      <c r="BU161" s="54">
        <v>13</v>
      </c>
      <c r="CE161">
        <v>125</v>
      </c>
      <c r="CF161">
        <v>10</v>
      </c>
      <c r="CG161">
        <v>4.3</v>
      </c>
      <c r="CH161">
        <v>336</v>
      </c>
    </row>
    <row r="162" spans="1:86">
      <c r="A162" t="s">
        <v>161</v>
      </c>
      <c r="B162" s="18">
        <v>3</v>
      </c>
      <c r="C162" s="18">
        <v>1</v>
      </c>
      <c r="D162" s="18">
        <v>0</v>
      </c>
      <c r="E162" s="18">
        <v>0</v>
      </c>
      <c r="F162" s="18">
        <v>0</v>
      </c>
      <c r="G162" s="18">
        <v>1</v>
      </c>
      <c r="H162" s="18">
        <v>0</v>
      </c>
      <c r="I162" s="18">
        <v>1</v>
      </c>
      <c r="J162">
        <v>23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 s="19">
        <v>2330</v>
      </c>
      <c r="AW162" s="19">
        <v>46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1</v>
      </c>
      <c r="BQ162">
        <v>0</v>
      </c>
      <c r="BR162">
        <v>0</v>
      </c>
      <c r="BS162">
        <v>170</v>
      </c>
      <c r="BT162">
        <v>225</v>
      </c>
      <c r="BU162" s="54">
        <v>18</v>
      </c>
      <c r="CE162">
        <v>119</v>
      </c>
      <c r="CF162">
        <v>6.9</v>
      </c>
      <c r="CG162">
        <v>4.5999999999999996</v>
      </c>
      <c r="CH162">
        <v>245</v>
      </c>
    </row>
    <row r="163" spans="1:86">
      <c r="A163" t="s">
        <v>162</v>
      </c>
      <c r="B163" s="18">
        <v>3</v>
      </c>
      <c r="C163" s="18">
        <v>1</v>
      </c>
      <c r="D163" s="18">
        <v>1</v>
      </c>
      <c r="E163" s="18">
        <v>1</v>
      </c>
      <c r="F163" s="18">
        <v>0</v>
      </c>
      <c r="G163" s="18">
        <v>1</v>
      </c>
      <c r="H163" s="18">
        <v>0</v>
      </c>
      <c r="I163" s="18">
        <v>1</v>
      </c>
      <c r="J163">
        <v>26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 s="19">
        <v>3080</v>
      </c>
      <c r="AW163" s="19">
        <v>50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187</v>
      </c>
      <c r="BT163">
        <v>303</v>
      </c>
      <c r="BU163" s="54">
        <v>17</v>
      </c>
      <c r="CE163">
        <v>118</v>
      </c>
      <c r="CF163">
        <v>14.3</v>
      </c>
      <c r="CG163">
        <v>4.5</v>
      </c>
      <c r="CH163">
        <v>328</v>
      </c>
    </row>
    <row r="164" spans="1:86">
      <c r="A164" t="s">
        <v>163</v>
      </c>
      <c r="B164" s="18">
        <v>3</v>
      </c>
      <c r="C164" s="18">
        <v>1</v>
      </c>
      <c r="D164" s="18">
        <v>0</v>
      </c>
      <c r="E164" s="18">
        <v>0</v>
      </c>
      <c r="F164" s="18">
        <v>0</v>
      </c>
      <c r="G164" s="18">
        <v>1</v>
      </c>
      <c r="H164" s="18">
        <v>0</v>
      </c>
      <c r="I164" s="18">
        <v>1</v>
      </c>
      <c r="J164">
        <v>37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1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 s="19">
        <v>3580</v>
      </c>
      <c r="AW164" s="19">
        <v>52</v>
      </c>
      <c r="BI164">
        <v>1</v>
      </c>
      <c r="BJ164">
        <v>1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1</v>
      </c>
      <c r="BQ164">
        <v>0</v>
      </c>
      <c r="BR164">
        <v>0</v>
      </c>
      <c r="BS164">
        <v>138</v>
      </c>
      <c r="BT164">
        <v>255</v>
      </c>
      <c r="BU164" s="54">
        <v>12</v>
      </c>
      <c r="CE164" s="14">
        <v>96</v>
      </c>
      <c r="CF164">
        <v>11.3</v>
      </c>
      <c r="CG164">
        <v>2.9</v>
      </c>
      <c r="CH164">
        <v>229</v>
      </c>
    </row>
    <row r="165" spans="1:86">
      <c r="A165" t="s">
        <v>163</v>
      </c>
      <c r="B165" s="18">
        <v>3</v>
      </c>
      <c r="C165" s="18">
        <v>1</v>
      </c>
      <c r="D165" s="18">
        <v>0</v>
      </c>
      <c r="E165" s="18">
        <v>0</v>
      </c>
      <c r="F165" s="18">
        <v>0</v>
      </c>
      <c r="G165" s="18">
        <v>1</v>
      </c>
      <c r="H165" s="18">
        <v>0</v>
      </c>
      <c r="I165" s="18">
        <v>1</v>
      </c>
      <c r="J165">
        <v>37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 s="19">
        <v>3580</v>
      </c>
      <c r="AW165" s="19">
        <v>52</v>
      </c>
      <c r="BI165">
        <v>1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1</v>
      </c>
      <c r="BQ165">
        <v>0</v>
      </c>
      <c r="BR165">
        <v>0</v>
      </c>
      <c r="BS165">
        <v>138</v>
      </c>
      <c r="BT165">
        <v>255</v>
      </c>
      <c r="BU165" s="54">
        <v>12</v>
      </c>
      <c r="CE165" s="14">
        <v>96</v>
      </c>
      <c r="CF165">
        <v>11.3</v>
      </c>
      <c r="CG165">
        <v>2.9</v>
      </c>
      <c r="CH165">
        <v>229</v>
      </c>
    </row>
    <row r="166" spans="1:86">
      <c r="A166" t="s">
        <v>164</v>
      </c>
      <c r="B166" s="18">
        <v>3</v>
      </c>
      <c r="C166" s="18">
        <v>0</v>
      </c>
      <c r="D166" s="18">
        <v>0</v>
      </c>
      <c r="E166" s="18">
        <v>0</v>
      </c>
      <c r="F166" s="18">
        <v>1</v>
      </c>
      <c r="G166" s="18">
        <v>0</v>
      </c>
      <c r="H166" s="18">
        <v>1</v>
      </c>
      <c r="I166" s="18">
        <v>0</v>
      </c>
      <c r="J166">
        <v>24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 s="19">
        <v>2470</v>
      </c>
      <c r="AW166" s="19">
        <v>49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1</v>
      </c>
      <c r="BQ166">
        <v>0</v>
      </c>
      <c r="BR166">
        <v>0</v>
      </c>
      <c r="BS166">
        <v>216</v>
      </c>
      <c r="BT166">
        <v>195</v>
      </c>
      <c r="BU166" s="54">
        <v>11</v>
      </c>
      <c r="CE166" s="14">
        <v>97</v>
      </c>
      <c r="CF166">
        <v>14.1</v>
      </c>
      <c r="CG166">
        <v>2.5</v>
      </c>
      <c r="CH166">
        <v>168</v>
      </c>
    </row>
    <row r="167" spans="1:86">
      <c r="A167" t="s">
        <v>165</v>
      </c>
      <c r="B167" s="18">
        <v>3</v>
      </c>
      <c r="C167" s="18">
        <v>0</v>
      </c>
      <c r="D167" s="18">
        <v>1</v>
      </c>
      <c r="E167" s="18">
        <v>0</v>
      </c>
      <c r="F167" s="18">
        <v>0</v>
      </c>
      <c r="G167" s="18">
        <v>1</v>
      </c>
      <c r="H167" s="18">
        <v>1</v>
      </c>
      <c r="I167" s="18">
        <v>0</v>
      </c>
      <c r="J167">
        <v>39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 s="19">
        <v>2870</v>
      </c>
      <c r="AW167" s="19">
        <v>48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1</v>
      </c>
      <c r="BR167">
        <v>0</v>
      </c>
      <c r="BS167">
        <v>210</v>
      </c>
      <c r="BT167">
        <v>195</v>
      </c>
      <c r="BU167" s="54">
        <v>23</v>
      </c>
      <c r="CE167">
        <v>124</v>
      </c>
      <c r="CF167">
        <v>10.5</v>
      </c>
      <c r="CG167">
        <v>4</v>
      </c>
      <c r="CH167">
        <v>374</v>
      </c>
    </row>
    <row r="168" spans="1:86">
      <c r="A168" t="s">
        <v>166</v>
      </c>
      <c r="B168" s="18">
        <v>3</v>
      </c>
      <c r="C168" s="18">
        <v>1</v>
      </c>
      <c r="D168" s="18">
        <v>0</v>
      </c>
      <c r="E168" s="18">
        <v>1</v>
      </c>
      <c r="F168" s="18">
        <v>0</v>
      </c>
      <c r="G168" s="18">
        <v>1</v>
      </c>
      <c r="H168" s="18">
        <v>0</v>
      </c>
      <c r="I168" s="18">
        <v>1</v>
      </c>
      <c r="J168">
        <v>42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 s="19">
        <v>3870</v>
      </c>
      <c r="AW168" s="19">
        <v>52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204</v>
      </c>
      <c r="BT168">
        <v>270</v>
      </c>
      <c r="BU168" s="54">
        <v>22</v>
      </c>
      <c r="CE168">
        <v>109</v>
      </c>
      <c r="CF168">
        <v>17</v>
      </c>
      <c r="CG168">
        <v>3.5</v>
      </c>
      <c r="CH168" s="14">
        <v>100</v>
      </c>
    </row>
    <row r="169" spans="1:86">
      <c r="A169" t="s">
        <v>167</v>
      </c>
      <c r="B169" s="18">
        <v>3</v>
      </c>
      <c r="C169" s="18">
        <v>1</v>
      </c>
      <c r="D169" s="18">
        <v>0</v>
      </c>
      <c r="E169" s="18">
        <v>0</v>
      </c>
      <c r="F169" s="18">
        <v>0</v>
      </c>
      <c r="G169" s="18">
        <v>1</v>
      </c>
      <c r="H169" s="18">
        <v>0</v>
      </c>
      <c r="I169" s="18">
        <v>1</v>
      </c>
      <c r="J169">
        <v>34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 s="19">
        <v>2470</v>
      </c>
      <c r="AW169" s="19">
        <v>48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185</v>
      </c>
      <c r="BT169">
        <v>89</v>
      </c>
      <c r="BU169" s="54">
        <v>12</v>
      </c>
      <c r="CE169">
        <v>131</v>
      </c>
      <c r="CF169">
        <v>10</v>
      </c>
      <c r="CG169">
        <v>4</v>
      </c>
      <c r="CH169">
        <v>243</v>
      </c>
    </row>
    <row r="170" spans="1:86">
      <c r="A170" t="s">
        <v>168</v>
      </c>
      <c r="B170" s="18">
        <v>3</v>
      </c>
      <c r="C170" s="18">
        <v>0</v>
      </c>
      <c r="D170" s="18">
        <v>0</v>
      </c>
      <c r="E170" s="18">
        <v>0</v>
      </c>
      <c r="F170" s="18">
        <v>1</v>
      </c>
      <c r="G170" s="18">
        <v>0</v>
      </c>
      <c r="H170" s="18">
        <v>1</v>
      </c>
      <c r="I170" s="18">
        <v>0</v>
      </c>
      <c r="J170">
        <v>40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 s="19">
        <v>3390</v>
      </c>
      <c r="AW170" s="19">
        <v>54</v>
      </c>
      <c r="BI170">
        <v>1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228</v>
      </c>
      <c r="BT170">
        <v>276</v>
      </c>
      <c r="BU170" s="54">
        <v>22</v>
      </c>
      <c r="CE170">
        <v>121</v>
      </c>
      <c r="CF170">
        <v>9.8000000000000007</v>
      </c>
      <c r="CG170">
        <v>4.4000000000000004</v>
      </c>
      <c r="CH170">
        <v>281</v>
      </c>
    </row>
    <row r="171" spans="1:86">
      <c r="A171" t="s">
        <v>169</v>
      </c>
      <c r="B171" s="18">
        <v>3</v>
      </c>
      <c r="C171" s="18">
        <v>1</v>
      </c>
      <c r="D171" s="18">
        <v>0</v>
      </c>
      <c r="E171" s="18">
        <v>1</v>
      </c>
      <c r="F171" s="18">
        <v>0</v>
      </c>
      <c r="G171" s="18">
        <v>1</v>
      </c>
      <c r="H171" s="18">
        <v>0</v>
      </c>
      <c r="I171" s="18">
        <v>1</v>
      </c>
      <c r="J171">
        <v>30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 s="19">
        <v>3920</v>
      </c>
      <c r="AW171" s="19">
        <v>53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188</v>
      </c>
      <c r="BT171">
        <v>234</v>
      </c>
      <c r="BU171" s="54">
        <v>24</v>
      </c>
      <c r="CE171">
        <v>133</v>
      </c>
      <c r="CF171">
        <v>8.5</v>
      </c>
      <c r="CG171">
        <v>4.2</v>
      </c>
      <c r="CH171">
        <v>205</v>
      </c>
    </row>
    <row r="172" spans="1:86">
      <c r="A172" t="s">
        <v>170</v>
      </c>
      <c r="B172" s="18">
        <v>3</v>
      </c>
      <c r="C172" s="18">
        <v>0</v>
      </c>
      <c r="D172" s="18">
        <v>0</v>
      </c>
      <c r="E172" s="18">
        <v>0</v>
      </c>
      <c r="F172" s="18">
        <v>1</v>
      </c>
      <c r="G172" s="18">
        <v>0</v>
      </c>
      <c r="H172" s="18">
        <v>1</v>
      </c>
      <c r="I172" s="18">
        <v>0</v>
      </c>
      <c r="J172">
        <v>35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 s="19">
        <v>3160</v>
      </c>
      <c r="AW172" s="19">
        <v>53</v>
      </c>
      <c r="BI172">
        <v>1</v>
      </c>
      <c r="BJ172">
        <v>1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210</v>
      </c>
      <c r="BT172">
        <v>192</v>
      </c>
      <c r="BU172" s="54">
        <v>13</v>
      </c>
      <c r="CE172" s="14">
        <v>77</v>
      </c>
      <c r="CF172">
        <v>13</v>
      </c>
      <c r="CG172">
        <v>3</v>
      </c>
      <c r="CH172">
        <v>177</v>
      </c>
    </row>
    <row r="173" spans="1:86">
      <c r="A173" t="s">
        <v>171</v>
      </c>
      <c r="B173" s="18">
        <v>3</v>
      </c>
      <c r="C173" s="18">
        <v>1</v>
      </c>
      <c r="D173" s="18">
        <v>0</v>
      </c>
      <c r="E173" s="18">
        <v>0</v>
      </c>
      <c r="F173" s="18">
        <v>0</v>
      </c>
      <c r="G173" s="18">
        <v>1</v>
      </c>
      <c r="H173" s="18">
        <v>0</v>
      </c>
      <c r="I173" s="18">
        <v>1</v>
      </c>
      <c r="J173">
        <v>33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 s="19">
        <v>4230</v>
      </c>
      <c r="AW173" s="19">
        <v>53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185</v>
      </c>
      <c r="BT173">
        <v>197</v>
      </c>
      <c r="BU173" s="54">
        <v>33</v>
      </c>
      <c r="CE173">
        <v>118</v>
      </c>
      <c r="CF173">
        <v>15.3</v>
      </c>
      <c r="CG173">
        <v>3.8</v>
      </c>
      <c r="CH173">
        <v>253</v>
      </c>
    </row>
    <row r="174" spans="1:86">
      <c r="A174" t="s">
        <v>172</v>
      </c>
      <c r="B174" s="18">
        <v>3</v>
      </c>
      <c r="C174" s="18">
        <v>1</v>
      </c>
      <c r="D174" s="18">
        <v>0</v>
      </c>
      <c r="E174" s="18">
        <v>0</v>
      </c>
      <c r="F174" s="18">
        <v>0</v>
      </c>
      <c r="G174" s="18">
        <v>1</v>
      </c>
      <c r="H174" s="18">
        <v>0</v>
      </c>
      <c r="I174" s="18">
        <v>1</v>
      </c>
      <c r="J174">
        <v>34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 s="19">
        <v>3100</v>
      </c>
      <c r="AW174" s="19">
        <v>49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1</v>
      </c>
      <c r="BQ174">
        <v>1</v>
      </c>
      <c r="BR174">
        <v>0</v>
      </c>
      <c r="BS174">
        <v>207</v>
      </c>
      <c r="BT174">
        <v>247</v>
      </c>
      <c r="BU174" s="54">
        <v>24</v>
      </c>
      <c r="CC174" s="51"/>
      <c r="CE174">
        <v>125</v>
      </c>
      <c r="CF174">
        <v>12.8</v>
      </c>
      <c r="CG174">
        <v>4.2</v>
      </c>
      <c r="CH174">
        <v>239</v>
      </c>
    </row>
    <row r="175" spans="1:86">
      <c r="A175" t="s">
        <v>173</v>
      </c>
      <c r="B175" s="18">
        <v>3</v>
      </c>
      <c r="C175" s="18">
        <v>0</v>
      </c>
      <c r="D175" s="18">
        <v>0</v>
      </c>
      <c r="E175" s="18">
        <v>1</v>
      </c>
      <c r="F175" s="18">
        <v>0</v>
      </c>
      <c r="G175" s="18">
        <v>1</v>
      </c>
      <c r="H175" s="18">
        <v>1</v>
      </c>
      <c r="I175" s="18">
        <v>0</v>
      </c>
      <c r="J175">
        <v>27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 s="19">
        <v>3370</v>
      </c>
      <c r="AW175" s="19">
        <v>50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168</v>
      </c>
      <c r="BT175">
        <v>281</v>
      </c>
      <c r="BU175" s="54">
        <v>20</v>
      </c>
      <c r="CC175" s="51"/>
      <c r="CE175" s="14">
        <v>89</v>
      </c>
      <c r="CF175">
        <v>9.1</v>
      </c>
      <c r="CG175">
        <v>3.3</v>
      </c>
      <c r="CH175" s="14">
        <v>130</v>
      </c>
    </row>
    <row r="176" spans="1:86">
      <c r="A176" t="s">
        <v>174</v>
      </c>
      <c r="B176" s="18">
        <v>3</v>
      </c>
      <c r="C176" s="18">
        <v>1</v>
      </c>
      <c r="D176" s="18">
        <v>1</v>
      </c>
      <c r="E176" s="18">
        <v>0</v>
      </c>
      <c r="F176" s="18">
        <v>0</v>
      </c>
      <c r="G176" s="18">
        <v>1</v>
      </c>
      <c r="H176" s="18">
        <v>0</v>
      </c>
      <c r="I176" s="18">
        <v>1</v>
      </c>
      <c r="J176">
        <v>35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 s="19">
        <v>3750</v>
      </c>
      <c r="AW176" s="19">
        <v>51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212</v>
      </c>
      <c r="BT176">
        <v>382</v>
      </c>
      <c r="BU176" s="54">
        <v>12</v>
      </c>
      <c r="CC176" s="51"/>
      <c r="CE176" s="14">
        <v>81</v>
      </c>
      <c r="CF176">
        <v>11.9</v>
      </c>
      <c r="CG176">
        <v>2.7</v>
      </c>
      <c r="CH176">
        <v>232</v>
      </c>
    </row>
    <row r="177" spans="1:86">
      <c r="A177" t="s">
        <v>175</v>
      </c>
      <c r="B177" s="18">
        <v>3</v>
      </c>
      <c r="C177" s="18">
        <v>1</v>
      </c>
      <c r="D177" s="18">
        <v>0</v>
      </c>
      <c r="E177" s="18">
        <v>0</v>
      </c>
      <c r="F177" s="18">
        <v>0</v>
      </c>
      <c r="G177" s="18">
        <v>1</v>
      </c>
      <c r="H177" s="18">
        <v>0</v>
      </c>
      <c r="I177" s="18">
        <v>1</v>
      </c>
      <c r="J177">
        <v>33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 s="19">
        <v>4330</v>
      </c>
      <c r="AW177" s="19">
        <v>55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 s="14">
        <v>144</v>
      </c>
      <c r="BT177">
        <v>289</v>
      </c>
      <c r="BU177" s="54">
        <v>20</v>
      </c>
      <c r="CC177" s="51"/>
      <c r="CE177">
        <v>114</v>
      </c>
      <c r="CF177">
        <v>7.5</v>
      </c>
      <c r="CG177">
        <v>3.6</v>
      </c>
      <c r="CH177">
        <v>190</v>
      </c>
    </row>
    <row r="178" spans="1:86">
      <c r="A178" t="s">
        <v>176</v>
      </c>
      <c r="B178" s="18">
        <v>3</v>
      </c>
      <c r="C178" s="18">
        <v>1</v>
      </c>
      <c r="D178" s="18">
        <v>0</v>
      </c>
      <c r="E178" s="18">
        <v>0</v>
      </c>
      <c r="F178" s="18">
        <v>0</v>
      </c>
      <c r="G178" s="18">
        <v>1</v>
      </c>
      <c r="H178" s="18">
        <v>0</v>
      </c>
      <c r="I178" s="18">
        <v>1</v>
      </c>
      <c r="J178">
        <v>26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 s="19">
        <v>3200</v>
      </c>
      <c r="AW178" s="19">
        <v>52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194</v>
      </c>
      <c r="BT178">
        <v>231</v>
      </c>
      <c r="BU178" s="54">
        <v>15.6</v>
      </c>
      <c r="CC178" s="51"/>
      <c r="CE178">
        <v>109</v>
      </c>
      <c r="CF178">
        <v>7.4</v>
      </c>
      <c r="CG178">
        <v>3.9</v>
      </c>
      <c r="CH178">
        <v>278</v>
      </c>
    </row>
    <row r="179" spans="1:86">
      <c r="A179" t="s">
        <v>177</v>
      </c>
      <c r="B179" s="18">
        <v>3</v>
      </c>
      <c r="C179" s="18">
        <v>0</v>
      </c>
      <c r="D179" s="18">
        <v>0</v>
      </c>
      <c r="E179" s="18">
        <v>0</v>
      </c>
      <c r="F179" s="18">
        <v>1</v>
      </c>
      <c r="G179" s="18">
        <v>0</v>
      </c>
      <c r="H179" s="18">
        <v>1</v>
      </c>
      <c r="I179" s="18">
        <v>0</v>
      </c>
      <c r="J179">
        <v>31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 s="19">
        <v>2780</v>
      </c>
      <c r="AW179" s="19">
        <v>50</v>
      </c>
      <c r="BI179">
        <v>1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174</v>
      </c>
      <c r="BT179">
        <v>447</v>
      </c>
      <c r="BU179" s="54">
        <v>11.5</v>
      </c>
      <c r="CC179" s="51"/>
      <c r="CE179">
        <v>111</v>
      </c>
      <c r="CF179">
        <v>12.5</v>
      </c>
      <c r="CG179">
        <v>3.5</v>
      </c>
      <c r="CH179">
        <v>398</v>
      </c>
    </row>
    <row r="180" spans="1:86">
      <c r="A180" t="s">
        <v>178</v>
      </c>
      <c r="B180" s="18">
        <v>3</v>
      </c>
      <c r="C180" s="18">
        <v>0</v>
      </c>
      <c r="D180" s="18">
        <v>0</v>
      </c>
      <c r="E180" s="18">
        <v>0</v>
      </c>
      <c r="F180" s="18">
        <v>1</v>
      </c>
      <c r="G180" s="18">
        <v>0</v>
      </c>
      <c r="H180" s="18">
        <v>1</v>
      </c>
      <c r="I180" s="18">
        <v>0</v>
      </c>
      <c r="J180">
        <v>32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 s="19">
        <v>2715</v>
      </c>
      <c r="AW180" s="19">
        <v>49</v>
      </c>
      <c r="BI180">
        <v>1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 s="14">
        <v>146</v>
      </c>
      <c r="BT180">
        <v>274</v>
      </c>
      <c r="BU180" s="54">
        <v>19.3</v>
      </c>
      <c r="CC180" s="51"/>
      <c r="CE180">
        <v>111</v>
      </c>
      <c r="CF180">
        <v>13</v>
      </c>
      <c r="CG180">
        <v>3.8</v>
      </c>
      <c r="CH180">
        <v>223</v>
      </c>
    </row>
    <row r="181" spans="1:86">
      <c r="A181" t="s">
        <v>179</v>
      </c>
      <c r="B181" s="18">
        <v>3</v>
      </c>
      <c r="C181" s="18">
        <v>1</v>
      </c>
      <c r="D181" s="18">
        <v>0</v>
      </c>
      <c r="E181" s="18">
        <v>0</v>
      </c>
      <c r="F181" s="18">
        <v>0</v>
      </c>
      <c r="G181" s="18">
        <v>1</v>
      </c>
      <c r="H181" s="18">
        <v>0</v>
      </c>
      <c r="I181" s="18">
        <v>1</v>
      </c>
      <c r="J181">
        <v>30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 s="19">
        <v>3010</v>
      </c>
      <c r="AW181" s="19">
        <v>49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164</v>
      </c>
      <c r="BT181">
        <v>359</v>
      </c>
      <c r="BU181" s="54">
        <v>10.1</v>
      </c>
      <c r="CC181" s="51"/>
      <c r="CE181">
        <v>116</v>
      </c>
      <c r="CF181">
        <v>8.8000000000000007</v>
      </c>
      <c r="CG181">
        <v>3.8</v>
      </c>
      <c r="CH181">
        <v>267</v>
      </c>
    </row>
    <row r="182" spans="1:86">
      <c r="A182" t="s">
        <v>180</v>
      </c>
      <c r="B182" s="18">
        <v>3</v>
      </c>
      <c r="C182" s="18">
        <v>0</v>
      </c>
      <c r="D182" s="18">
        <v>0</v>
      </c>
      <c r="E182" s="18">
        <v>0</v>
      </c>
      <c r="F182" s="18">
        <v>1</v>
      </c>
      <c r="G182" s="18">
        <v>0</v>
      </c>
      <c r="H182" s="18">
        <v>1</v>
      </c>
      <c r="I182" s="18">
        <v>0</v>
      </c>
      <c r="J182">
        <v>20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 s="19">
        <v>3580</v>
      </c>
      <c r="AW182" s="19">
        <v>53</v>
      </c>
      <c r="BI182">
        <v>1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177</v>
      </c>
      <c r="BT182">
        <v>278</v>
      </c>
      <c r="BU182" s="54">
        <v>15.6</v>
      </c>
      <c r="CC182" s="51"/>
      <c r="CE182">
        <v>107</v>
      </c>
      <c r="CF182">
        <v>13.7</v>
      </c>
      <c r="CG182">
        <v>4.0999999999999996</v>
      </c>
      <c r="CH182">
        <v>189</v>
      </c>
    </row>
    <row r="183" spans="1:86">
      <c r="A183" t="s">
        <v>181</v>
      </c>
      <c r="B183" s="18">
        <v>3</v>
      </c>
      <c r="C183" s="18">
        <v>1</v>
      </c>
      <c r="D183" s="18">
        <v>1</v>
      </c>
      <c r="E183" s="18">
        <v>0</v>
      </c>
      <c r="F183" s="18">
        <v>0</v>
      </c>
      <c r="G183" s="18">
        <v>1</v>
      </c>
      <c r="H183" s="18">
        <v>0</v>
      </c>
      <c r="I183" s="18">
        <v>1</v>
      </c>
      <c r="J183">
        <v>36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 s="19">
        <v>2960</v>
      </c>
      <c r="AW183" s="19">
        <v>47</v>
      </c>
      <c r="AX183" s="19">
        <v>2570</v>
      </c>
      <c r="AY183" s="19">
        <v>45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168</v>
      </c>
      <c r="BT183">
        <v>362</v>
      </c>
      <c r="BU183" s="54">
        <v>17.600000000000001</v>
      </c>
      <c r="CE183" s="14">
        <v>93</v>
      </c>
      <c r="CF183">
        <v>7.3</v>
      </c>
      <c r="CG183">
        <v>3.4</v>
      </c>
      <c r="CH183">
        <v>266</v>
      </c>
    </row>
    <row r="184" spans="1:86">
      <c r="A184" t="s">
        <v>182</v>
      </c>
      <c r="B184" s="18">
        <v>3</v>
      </c>
      <c r="C184" s="18">
        <v>0</v>
      </c>
      <c r="D184" s="18">
        <v>0</v>
      </c>
      <c r="E184" s="18">
        <v>0</v>
      </c>
      <c r="F184" s="18">
        <v>1</v>
      </c>
      <c r="G184" s="18">
        <v>0</v>
      </c>
      <c r="H184" s="18">
        <v>1</v>
      </c>
      <c r="I184" s="18">
        <v>0</v>
      </c>
      <c r="J184">
        <v>28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 s="19">
        <v>3240</v>
      </c>
      <c r="AW184" s="19">
        <v>51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221</v>
      </c>
      <c r="BT184">
        <v>249</v>
      </c>
      <c r="BU184" s="54">
        <v>23.8</v>
      </c>
      <c r="CE184">
        <v>116</v>
      </c>
      <c r="CF184">
        <v>7.9</v>
      </c>
      <c r="CG184">
        <v>3.7</v>
      </c>
      <c r="CH184" s="14">
        <v>131</v>
      </c>
    </row>
    <row r="185" spans="1:86">
      <c r="A185" t="s">
        <v>183</v>
      </c>
      <c r="B185" s="18">
        <v>3</v>
      </c>
      <c r="C185" s="18">
        <v>0</v>
      </c>
      <c r="D185" s="18">
        <v>0</v>
      </c>
      <c r="E185" s="18">
        <v>1</v>
      </c>
      <c r="F185" s="18">
        <v>0</v>
      </c>
      <c r="G185" s="18">
        <v>1</v>
      </c>
      <c r="H185" s="18">
        <v>1</v>
      </c>
      <c r="I185" s="18">
        <v>0</v>
      </c>
      <c r="J185">
        <v>26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 s="19">
        <v>3650</v>
      </c>
      <c r="AW185" s="19">
        <v>52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185</v>
      </c>
      <c r="BT185">
        <v>299</v>
      </c>
      <c r="BU185" s="54">
        <v>27.7</v>
      </c>
      <c r="CE185">
        <v>102</v>
      </c>
      <c r="CF185">
        <v>11.5</v>
      </c>
      <c r="CG185">
        <v>3.1</v>
      </c>
      <c r="CH185">
        <v>210</v>
      </c>
    </row>
    <row r="186" spans="1:86">
      <c r="A186" t="s">
        <v>184</v>
      </c>
      <c r="B186" s="18">
        <v>3</v>
      </c>
      <c r="C186" s="18">
        <v>0</v>
      </c>
      <c r="D186" s="18">
        <v>0</v>
      </c>
      <c r="E186" s="18">
        <v>0</v>
      </c>
      <c r="F186" s="18">
        <v>1</v>
      </c>
      <c r="G186" s="18">
        <v>0</v>
      </c>
      <c r="H186" s="18">
        <v>1</v>
      </c>
      <c r="I186" s="18">
        <v>0</v>
      </c>
      <c r="J186">
        <v>26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 s="19">
        <v>3410</v>
      </c>
      <c r="AW186" s="19">
        <v>53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158</v>
      </c>
      <c r="BT186">
        <v>219</v>
      </c>
      <c r="BU186" s="54">
        <v>16.3</v>
      </c>
      <c r="CE186">
        <v>108</v>
      </c>
      <c r="CF186">
        <v>9.6999999999999993</v>
      </c>
      <c r="CG186">
        <v>3.9</v>
      </c>
      <c r="CH186">
        <v>195</v>
      </c>
    </row>
    <row r="187" spans="1:86">
      <c r="A187" t="s">
        <v>185</v>
      </c>
      <c r="B187" s="18">
        <v>3</v>
      </c>
      <c r="C187" s="18">
        <v>1</v>
      </c>
      <c r="D187" s="18">
        <v>1</v>
      </c>
      <c r="E187" s="18">
        <v>0</v>
      </c>
      <c r="F187" s="18">
        <v>0</v>
      </c>
      <c r="G187" s="18">
        <v>1</v>
      </c>
      <c r="H187" s="18">
        <v>0</v>
      </c>
      <c r="I187" s="18">
        <v>1</v>
      </c>
      <c r="J187">
        <v>32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 s="19">
        <v>3540</v>
      </c>
      <c r="AW187" s="19">
        <v>55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195</v>
      </c>
      <c r="BT187">
        <v>223</v>
      </c>
      <c r="BU187" s="54">
        <v>16.5</v>
      </c>
      <c r="CE187">
        <v>114</v>
      </c>
      <c r="CF187">
        <v>7.4</v>
      </c>
      <c r="CG187">
        <v>4.0999999999999996</v>
      </c>
      <c r="CH187">
        <v>172</v>
      </c>
    </row>
    <row r="188" spans="1:86">
      <c r="A188" t="s">
        <v>186</v>
      </c>
      <c r="B188" s="18">
        <v>3</v>
      </c>
      <c r="C188" s="18">
        <v>1</v>
      </c>
      <c r="D188" s="18">
        <v>0</v>
      </c>
      <c r="E188" s="18">
        <v>0</v>
      </c>
      <c r="F188" s="18">
        <v>0</v>
      </c>
      <c r="G188" s="18">
        <v>1</v>
      </c>
      <c r="H188" s="18">
        <v>0</v>
      </c>
      <c r="I188" s="18">
        <v>1</v>
      </c>
      <c r="J188">
        <v>36</v>
      </c>
      <c r="U188">
        <v>0</v>
      </c>
      <c r="V188">
        <v>1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 s="19">
        <v>3540</v>
      </c>
      <c r="AW188" s="19">
        <v>53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205</v>
      </c>
      <c r="BT188">
        <v>258</v>
      </c>
      <c r="BU188" s="54">
        <v>24</v>
      </c>
      <c r="CE188">
        <v>135</v>
      </c>
      <c r="CF188">
        <v>8.6999999999999993</v>
      </c>
      <c r="CG188">
        <v>4</v>
      </c>
      <c r="CH188" s="14">
        <v>134</v>
      </c>
    </row>
    <row r="189" spans="1:86">
      <c r="A189" t="s">
        <v>187</v>
      </c>
      <c r="B189" s="18">
        <v>3</v>
      </c>
      <c r="C189" s="18">
        <v>1</v>
      </c>
      <c r="D189" s="18">
        <v>0</v>
      </c>
      <c r="E189" s="18">
        <v>0</v>
      </c>
      <c r="F189" s="18">
        <v>0</v>
      </c>
      <c r="G189" s="18">
        <v>1</v>
      </c>
      <c r="H189" s="18">
        <v>0</v>
      </c>
      <c r="I189" s="18">
        <v>1</v>
      </c>
      <c r="J189">
        <v>40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 s="19">
        <v>4640</v>
      </c>
      <c r="AW189" s="19">
        <v>53</v>
      </c>
      <c r="BI189">
        <v>1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164</v>
      </c>
      <c r="BT189">
        <v>259</v>
      </c>
      <c r="BU189" s="103">
        <v>24</v>
      </c>
      <c r="CE189">
        <v>120</v>
      </c>
      <c r="CF189">
        <v>9.3000000000000007</v>
      </c>
      <c r="CG189">
        <v>4.0999999999999996</v>
      </c>
      <c r="CH189">
        <v>287</v>
      </c>
    </row>
    <row r="190" spans="1:86">
      <c r="A190" t="s">
        <v>188</v>
      </c>
      <c r="B190" s="18">
        <v>3</v>
      </c>
      <c r="C190" s="18">
        <v>0</v>
      </c>
      <c r="D190" s="18">
        <v>1</v>
      </c>
      <c r="E190" s="18">
        <v>1</v>
      </c>
      <c r="F190" s="18">
        <v>0</v>
      </c>
      <c r="G190" s="18">
        <v>1</v>
      </c>
      <c r="H190" s="18">
        <v>1</v>
      </c>
      <c r="I190" s="18">
        <v>0</v>
      </c>
      <c r="J190">
        <v>39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 s="19">
        <v>3260</v>
      </c>
      <c r="AW190" s="19">
        <v>51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161</v>
      </c>
      <c r="BT190">
        <v>292</v>
      </c>
      <c r="BU190" s="104">
        <v>22.1</v>
      </c>
      <c r="CE190">
        <v>125</v>
      </c>
      <c r="CF190">
        <v>12.2</v>
      </c>
      <c r="CG190">
        <v>4</v>
      </c>
      <c r="CH190">
        <v>235</v>
      </c>
    </row>
    <row r="191" spans="1:86">
      <c r="A191" t="s">
        <v>189</v>
      </c>
      <c r="B191" s="18">
        <v>3</v>
      </c>
      <c r="C191" s="18">
        <v>1</v>
      </c>
      <c r="D191" s="18">
        <v>1</v>
      </c>
      <c r="E191" s="18">
        <v>1</v>
      </c>
      <c r="F191" s="18">
        <v>0</v>
      </c>
      <c r="G191" s="18">
        <v>1</v>
      </c>
      <c r="H191" s="18">
        <v>0</v>
      </c>
      <c r="I191" s="18">
        <v>1</v>
      </c>
      <c r="J191">
        <v>45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 s="19">
        <v>2800</v>
      </c>
      <c r="AW191" s="19">
        <v>48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193</v>
      </c>
      <c r="BT191">
        <v>313</v>
      </c>
      <c r="BU191" s="104">
        <v>13.4</v>
      </c>
      <c r="CE191">
        <v>110</v>
      </c>
      <c r="CF191">
        <v>8.5</v>
      </c>
      <c r="CG191">
        <v>3.8</v>
      </c>
      <c r="CH191">
        <v>227</v>
      </c>
    </row>
    <row r="192" spans="1:86">
      <c r="A192" t="s">
        <v>190</v>
      </c>
      <c r="B192" s="18">
        <v>3</v>
      </c>
      <c r="C192" s="18">
        <v>1</v>
      </c>
      <c r="D192" s="18">
        <v>1</v>
      </c>
      <c r="E192" s="18">
        <v>0</v>
      </c>
      <c r="F192" s="18">
        <v>0</v>
      </c>
      <c r="G192" s="18">
        <v>1</v>
      </c>
      <c r="H192" s="18">
        <v>0</v>
      </c>
      <c r="I192" s="18">
        <v>1</v>
      </c>
      <c r="J192">
        <v>35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 s="19">
        <v>4100</v>
      </c>
      <c r="AW192" s="19">
        <v>54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156</v>
      </c>
      <c r="BT192">
        <v>149</v>
      </c>
      <c r="BU192" s="104">
        <v>17</v>
      </c>
      <c r="CE192" s="14">
        <v>77</v>
      </c>
      <c r="CF192">
        <v>8</v>
      </c>
      <c r="CG192">
        <v>3</v>
      </c>
      <c r="CH192">
        <v>289</v>
      </c>
    </row>
    <row r="193" spans="1:86">
      <c r="A193" t="s">
        <v>191</v>
      </c>
      <c r="B193" s="18">
        <v>3</v>
      </c>
      <c r="C193" s="18">
        <v>1</v>
      </c>
      <c r="D193" s="18">
        <v>0</v>
      </c>
      <c r="E193" s="18">
        <v>0</v>
      </c>
      <c r="F193" s="18">
        <v>0</v>
      </c>
      <c r="G193" s="18">
        <v>1</v>
      </c>
      <c r="H193" s="18">
        <v>0</v>
      </c>
      <c r="I193" s="18">
        <v>1</v>
      </c>
      <c r="J193">
        <v>42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 s="19">
        <v>3380</v>
      </c>
      <c r="AW193" s="19">
        <v>53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203</v>
      </c>
      <c r="BT193">
        <v>265</v>
      </c>
      <c r="BU193" s="104">
        <v>18</v>
      </c>
      <c r="CE193">
        <v>130</v>
      </c>
      <c r="CF193">
        <v>8.8000000000000007</v>
      </c>
      <c r="CG193">
        <v>4.3</v>
      </c>
      <c r="CH193">
        <v>286</v>
      </c>
    </row>
    <row r="194" spans="1:86">
      <c r="A194" t="s">
        <v>192</v>
      </c>
      <c r="B194" s="18">
        <v>3</v>
      </c>
      <c r="C194" s="18">
        <v>1</v>
      </c>
      <c r="D194" s="18">
        <v>0</v>
      </c>
      <c r="E194" s="18">
        <v>0</v>
      </c>
      <c r="F194" s="18">
        <v>0</v>
      </c>
      <c r="G194" s="18">
        <v>1</v>
      </c>
      <c r="H194" s="18">
        <v>0</v>
      </c>
      <c r="I194" s="18">
        <v>1</v>
      </c>
      <c r="J194">
        <v>40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 s="19">
        <v>3310</v>
      </c>
      <c r="AW194" s="19">
        <v>52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192</v>
      </c>
      <c r="BT194">
        <v>242</v>
      </c>
      <c r="BU194" s="104">
        <v>12.7</v>
      </c>
      <c r="CE194" s="14">
        <v>76</v>
      </c>
      <c r="CF194">
        <v>7.6</v>
      </c>
      <c r="CG194">
        <v>2.4</v>
      </c>
      <c r="CH194">
        <v>264</v>
      </c>
    </row>
    <row r="195" spans="1:86">
      <c r="A195" t="s">
        <v>193</v>
      </c>
      <c r="B195" s="18">
        <v>3</v>
      </c>
      <c r="C195" s="18">
        <v>0</v>
      </c>
      <c r="D195" s="18">
        <v>1</v>
      </c>
      <c r="E195" s="18">
        <v>0</v>
      </c>
      <c r="F195" s="18">
        <v>0</v>
      </c>
      <c r="G195" s="18">
        <v>1</v>
      </c>
      <c r="H195" s="18">
        <v>1</v>
      </c>
      <c r="I195" s="18">
        <v>0</v>
      </c>
      <c r="J195">
        <v>42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 s="19">
        <v>3300</v>
      </c>
      <c r="AW195" s="19">
        <v>52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163</v>
      </c>
      <c r="BT195">
        <v>160</v>
      </c>
      <c r="BU195" s="104">
        <v>14.1</v>
      </c>
      <c r="CE195">
        <v>122</v>
      </c>
      <c r="CF195">
        <v>8.6999999999999993</v>
      </c>
      <c r="CG195">
        <v>4.0999999999999996</v>
      </c>
      <c r="CH195">
        <v>284</v>
      </c>
    </row>
    <row r="196" spans="1:86">
      <c r="A196" t="s">
        <v>194</v>
      </c>
      <c r="B196" s="18">
        <v>3</v>
      </c>
      <c r="C196" s="18">
        <v>0</v>
      </c>
      <c r="D196" s="18">
        <v>0</v>
      </c>
      <c r="E196" s="18">
        <v>0</v>
      </c>
      <c r="F196" s="18">
        <v>1</v>
      </c>
      <c r="G196" s="18">
        <v>0</v>
      </c>
      <c r="H196" s="18">
        <v>1</v>
      </c>
      <c r="I196" s="18">
        <v>0</v>
      </c>
      <c r="J196">
        <v>26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 s="19">
        <v>3390</v>
      </c>
      <c r="AW196" s="19">
        <v>53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200</v>
      </c>
      <c r="BT196">
        <v>177</v>
      </c>
      <c r="BU196" s="104">
        <v>39.6</v>
      </c>
      <c r="CE196" s="14">
        <v>89</v>
      </c>
      <c r="CF196">
        <v>10.7</v>
      </c>
      <c r="CG196">
        <v>3.1</v>
      </c>
      <c r="CH196">
        <v>193</v>
      </c>
    </row>
    <row r="197" spans="1:86">
      <c r="A197" t="s">
        <v>195</v>
      </c>
      <c r="B197" s="18">
        <v>3</v>
      </c>
      <c r="C197" s="18">
        <v>0</v>
      </c>
      <c r="D197" s="18">
        <v>0</v>
      </c>
      <c r="E197" s="18">
        <v>0</v>
      </c>
      <c r="F197" s="18">
        <v>1</v>
      </c>
      <c r="G197" s="18">
        <v>0</v>
      </c>
      <c r="H197" s="18">
        <v>1</v>
      </c>
      <c r="I197" s="18">
        <v>0</v>
      </c>
      <c r="J197">
        <v>22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 s="19">
        <v>3740</v>
      </c>
      <c r="AW197" s="19">
        <v>54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217</v>
      </c>
      <c r="BT197">
        <v>372</v>
      </c>
      <c r="BU197" s="104">
        <v>17.899999999999999</v>
      </c>
      <c r="CE197">
        <v>105</v>
      </c>
      <c r="CF197">
        <v>9.6999999999999993</v>
      </c>
      <c r="CG197">
        <v>4</v>
      </c>
      <c r="CH197">
        <v>231</v>
      </c>
    </row>
    <row r="198" spans="1:86">
      <c r="A198" t="s">
        <v>196</v>
      </c>
      <c r="B198" s="18">
        <v>3</v>
      </c>
      <c r="C198" s="18">
        <v>1</v>
      </c>
      <c r="D198" s="18">
        <v>1</v>
      </c>
      <c r="E198" s="18">
        <v>0</v>
      </c>
      <c r="F198" s="18">
        <v>0</v>
      </c>
      <c r="G198" s="18">
        <v>1</v>
      </c>
      <c r="H198" s="18">
        <v>0</v>
      </c>
      <c r="I198" s="18">
        <v>1</v>
      </c>
      <c r="J198">
        <v>39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 s="19">
        <v>4470</v>
      </c>
      <c r="AW198" s="19">
        <v>57</v>
      </c>
      <c r="BI198">
        <v>1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174</v>
      </c>
      <c r="BT198">
        <v>227</v>
      </c>
      <c r="BU198" s="104">
        <v>15.7</v>
      </c>
      <c r="CE198">
        <v>120</v>
      </c>
      <c r="CF198">
        <v>12.1</v>
      </c>
      <c r="CG198">
        <v>4.3</v>
      </c>
      <c r="CH198">
        <v>259</v>
      </c>
    </row>
    <row r="199" spans="1:86">
      <c r="A199" t="s">
        <v>197</v>
      </c>
      <c r="B199" s="18">
        <v>3</v>
      </c>
      <c r="C199" s="18">
        <v>1</v>
      </c>
      <c r="D199" s="18">
        <v>0</v>
      </c>
      <c r="E199" s="18">
        <v>0</v>
      </c>
      <c r="F199" s="18">
        <v>0</v>
      </c>
      <c r="G199" s="18">
        <v>1</v>
      </c>
      <c r="H199" s="18">
        <v>0</v>
      </c>
      <c r="I199" s="18">
        <v>1</v>
      </c>
      <c r="J199">
        <v>35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 s="19">
        <v>3560</v>
      </c>
      <c r="AW199" s="19">
        <v>51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194</v>
      </c>
      <c r="BT199">
        <v>275</v>
      </c>
      <c r="BU199" s="104">
        <v>17.399999999999999</v>
      </c>
      <c r="CE199">
        <v>122</v>
      </c>
      <c r="CF199">
        <v>8.6</v>
      </c>
      <c r="CG199">
        <v>4.3</v>
      </c>
      <c r="CH199">
        <v>255</v>
      </c>
    </row>
    <row r="200" spans="1:86">
      <c r="A200" t="s">
        <v>198</v>
      </c>
      <c r="B200" s="18">
        <v>3</v>
      </c>
      <c r="C200" s="18">
        <v>0</v>
      </c>
      <c r="D200" s="18">
        <v>1</v>
      </c>
      <c r="E200" s="18">
        <v>0</v>
      </c>
      <c r="F200" s="18">
        <v>0</v>
      </c>
      <c r="G200" s="18">
        <v>1</v>
      </c>
      <c r="H200" s="18">
        <v>1</v>
      </c>
      <c r="I200" s="18">
        <v>0</v>
      </c>
      <c r="J200">
        <v>26</v>
      </c>
      <c r="U200">
        <v>0</v>
      </c>
      <c r="V200">
        <v>1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 s="19">
        <v>4100</v>
      </c>
      <c r="AW200" s="19">
        <v>54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154</v>
      </c>
      <c r="BT200">
        <v>268</v>
      </c>
      <c r="BU200" s="104">
        <v>18.399999999999999</v>
      </c>
      <c r="CE200">
        <v>131</v>
      </c>
      <c r="CF200">
        <v>13</v>
      </c>
      <c r="CG200">
        <v>4.2</v>
      </c>
      <c r="CH200">
        <v>193</v>
      </c>
    </row>
    <row r="201" spans="1:86">
      <c r="A201" t="s">
        <v>199</v>
      </c>
      <c r="B201" s="18">
        <v>3</v>
      </c>
      <c r="C201" s="18">
        <v>1</v>
      </c>
      <c r="D201" s="18">
        <v>0</v>
      </c>
      <c r="E201" s="18">
        <v>0</v>
      </c>
      <c r="F201" s="18">
        <v>0</v>
      </c>
      <c r="G201" s="18">
        <v>1</v>
      </c>
      <c r="H201" s="18">
        <v>0</v>
      </c>
      <c r="I201" s="18">
        <v>1</v>
      </c>
      <c r="J201">
        <v>30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 s="19">
        <v>4200</v>
      </c>
      <c r="AW201" s="19">
        <v>54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1</v>
      </c>
      <c r="BQ201">
        <v>0</v>
      </c>
      <c r="BR201">
        <v>0</v>
      </c>
      <c r="BS201">
        <v>180</v>
      </c>
      <c r="BT201">
        <v>297</v>
      </c>
      <c r="BU201" s="104">
        <v>14.7</v>
      </c>
      <c r="CE201">
        <v>110</v>
      </c>
      <c r="CF201">
        <v>7.8</v>
      </c>
      <c r="CG201">
        <v>3.1</v>
      </c>
      <c r="CH201">
        <v>246</v>
      </c>
    </row>
    <row r="202" spans="1:86">
      <c r="A202" t="s">
        <v>200</v>
      </c>
      <c r="B202" s="18">
        <v>3</v>
      </c>
      <c r="C202" s="18">
        <v>1</v>
      </c>
      <c r="D202" s="18">
        <v>0</v>
      </c>
      <c r="E202" s="18">
        <v>0</v>
      </c>
      <c r="F202" s="18">
        <v>0</v>
      </c>
      <c r="G202" s="18">
        <v>1</v>
      </c>
      <c r="H202" s="18">
        <v>0</v>
      </c>
      <c r="I202" s="18">
        <v>1</v>
      </c>
      <c r="J202">
        <v>30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 s="19">
        <v>3590</v>
      </c>
      <c r="AW202" s="19">
        <v>51</v>
      </c>
      <c r="BI202">
        <v>0</v>
      </c>
      <c r="BJ202">
        <v>1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201</v>
      </c>
      <c r="BT202">
        <v>221</v>
      </c>
      <c r="BU202" s="104">
        <v>27.7</v>
      </c>
      <c r="CE202">
        <v>120</v>
      </c>
      <c r="CF202">
        <v>10.4</v>
      </c>
      <c r="CG202">
        <v>4.2</v>
      </c>
      <c r="CH202">
        <v>275</v>
      </c>
    </row>
    <row r="203" spans="1:86">
      <c r="A203" t="s">
        <v>201</v>
      </c>
      <c r="B203" s="18">
        <v>3</v>
      </c>
      <c r="C203" s="18">
        <v>1</v>
      </c>
      <c r="D203" s="18">
        <v>0</v>
      </c>
      <c r="E203" s="18">
        <v>0</v>
      </c>
      <c r="F203" s="18">
        <v>0</v>
      </c>
      <c r="G203" s="18">
        <v>1</v>
      </c>
      <c r="H203" s="18">
        <v>0</v>
      </c>
      <c r="I203" s="18">
        <v>1</v>
      </c>
      <c r="J203">
        <v>34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 s="19">
        <v>3300</v>
      </c>
      <c r="AW203" s="19">
        <v>50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196</v>
      </c>
      <c r="BT203">
        <v>288</v>
      </c>
      <c r="BU203" s="104">
        <v>24</v>
      </c>
      <c r="CE203">
        <v>119</v>
      </c>
      <c r="CF203">
        <v>10.9</v>
      </c>
      <c r="CG203">
        <v>3.9</v>
      </c>
      <c r="CH203">
        <v>213</v>
      </c>
    </row>
    <row r="204" spans="1:86">
      <c r="A204" t="s">
        <v>202</v>
      </c>
      <c r="B204" s="18">
        <v>3</v>
      </c>
      <c r="C204" s="18">
        <v>2</v>
      </c>
      <c r="D204" s="18">
        <v>0</v>
      </c>
      <c r="E204" s="18">
        <v>0</v>
      </c>
      <c r="F204" s="18">
        <v>0</v>
      </c>
      <c r="G204" s="18">
        <v>1</v>
      </c>
      <c r="H204" s="18">
        <v>0</v>
      </c>
      <c r="I204" s="18">
        <v>1</v>
      </c>
      <c r="J204">
        <v>32</v>
      </c>
      <c r="U204">
        <v>0</v>
      </c>
      <c r="V204">
        <v>1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 s="19">
        <v>4630</v>
      </c>
      <c r="AW204" s="19">
        <v>56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219</v>
      </c>
      <c r="BT204">
        <v>336</v>
      </c>
      <c r="BU204" s="104">
        <v>30.5</v>
      </c>
      <c r="CE204">
        <v>115</v>
      </c>
      <c r="CF204">
        <v>6.8</v>
      </c>
      <c r="CG204">
        <v>4.2</v>
      </c>
      <c r="CH204">
        <v>168</v>
      </c>
    </row>
    <row r="205" spans="1:86">
      <c r="A205" t="s">
        <v>203</v>
      </c>
      <c r="B205" s="18">
        <v>3</v>
      </c>
      <c r="C205" s="18">
        <v>1</v>
      </c>
      <c r="D205" s="18">
        <v>0</v>
      </c>
      <c r="E205" s="18">
        <v>1</v>
      </c>
      <c r="F205" s="18">
        <v>0</v>
      </c>
      <c r="G205" s="18">
        <v>1</v>
      </c>
      <c r="H205" s="18">
        <v>0</v>
      </c>
      <c r="I205" s="18">
        <v>1</v>
      </c>
      <c r="J205">
        <v>32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 s="19">
        <v>3570</v>
      </c>
      <c r="AW205" s="19">
        <v>51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188</v>
      </c>
      <c r="BT205">
        <v>162</v>
      </c>
      <c r="BU205" s="104">
        <v>22.8</v>
      </c>
      <c r="CE205">
        <v>128</v>
      </c>
      <c r="CF205">
        <v>9.6</v>
      </c>
      <c r="CG205">
        <v>4</v>
      </c>
      <c r="CH205">
        <v>250</v>
      </c>
    </row>
    <row r="206" spans="1:86">
      <c r="A206" t="s">
        <v>204</v>
      </c>
      <c r="B206" s="18">
        <v>3</v>
      </c>
      <c r="C206" s="18">
        <v>0</v>
      </c>
      <c r="D206" s="18">
        <v>1</v>
      </c>
      <c r="E206" s="18">
        <v>0</v>
      </c>
      <c r="F206" s="18">
        <v>0</v>
      </c>
      <c r="G206" s="18">
        <v>1</v>
      </c>
      <c r="H206" s="18">
        <v>1</v>
      </c>
      <c r="I206" s="18">
        <v>0</v>
      </c>
      <c r="J206">
        <v>29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 s="19">
        <v>3370</v>
      </c>
      <c r="AW206" s="19">
        <v>51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205</v>
      </c>
      <c r="BT206">
        <v>210</v>
      </c>
      <c r="BU206" s="104">
        <v>12.7</v>
      </c>
      <c r="CE206" s="14">
        <v>80</v>
      </c>
      <c r="CF206">
        <v>14.3</v>
      </c>
      <c r="CG206">
        <v>2.8</v>
      </c>
      <c r="CH206">
        <v>220</v>
      </c>
    </row>
    <row r="207" spans="1:86">
      <c r="A207" t="s">
        <v>205</v>
      </c>
      <c r="B207" s="18">
        <v>3</v>
      </c>
      <c r="C207" s="18">
        <v>0</v>
      </c>
      <c r="D207" s="18">
        <v>1</v>
      </c>
      <c r="E207" s="18">
        <v>0</v>
      </c>
      <c r="F207" s="18">
        <v>0</v>
      </c>
      <c r="G207" s="18">
        <v>1</v>
      </c>
      <c r="H207" s="18">
        <v>1</v>
      </c>
      <c r="I207" s="18">
        <v>0</v>
      </c>
      <c r="J207">
        <v>39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 s="19">
        <v>3790</v>
      </c>
      <c r="AW207" s="19">
        <v>55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179</v>
      </c>
      <c r="BT207">
        <v>212</v>
      </c>
      <c r="BU207" s="104">
        <v>21.6</v>
      </c>
      <c r="CE207">
        <v>104</v>
      </c>
      <c r="CF207">
        <v>11.3</v>
      </c>
      <c r="CG207">
        <v>3.4</v>
      </c>
      <c r="CH207">
        <v>267</v>
      </c>
    </row>
    <row r="208" spans="1:86">
      <c r="A208" t="s">
        <v>206</v>
      </c>
      <c r="B208" s="18">
        <v>3</v>
      </c>
      <c r="C208" s="18">
        <v>0</v>
      </c>
      <c r="D208" s="18">
        <v>0</v>
      </c>
      <c r="E208" s="18">
        <v>0</v>
      </c>
      <c r="F208" s="18">
        <v>1</v>
      </c>
      <c r="G208" s="18">
        <v>0</v>
      </c>
      <c r="H208" s="18">
        <v>1</v>
      </c>
      <c r="I208" s="18">
        <v>0</v>
      </c>
      <c r="J208">
        <v>27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 s="19">
        <v>3640</v>
      </c>
      <c r="AW208" s="19">
        <v>52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214</v>
      </c>
      <c r="BT208">
        <v>297</v>
      </c>
      <c r="BU208" s="104">
        <v>30.3</v>
      </c>
      <c r="CE208">
        <v>117</v>
      </c>
      <c r="CF208">
        <v>10.4</v>
      </c>
      <c r="CG208">
        <v>4</v>
      </c>
      <c r="CH208">
        <v>208</v>
      </c>
    </row>
    <row r="209" spans="1:86">
      <c r="A209" t="s">
        <v>207</v>
      </c>
      <c r="B209" s="18">
        <v>3</v>
      </c>
      <c r="C209" s="18">
        <v>0</v>
      </c>
      <c r="D209" s="18">
        <v>0</v>
      </c>
      <c r="E209" s="18">
        <v>0</v>
      </c>
      <c r="F209" s="18">
        <v>1</v>
      </c>
      <c r="G209" s="18">
        <v>0</v>
      </c>
      <c r="H209" s="18">
        <v>1</v>
      </c>
      <c r="I209" s="18">
        <v>0</v>
      </c>
      <c r="J209">
        <v>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 s="19">
        <v>4030</v>
      </c>
      <c r="AW209" s="19">
        <v>54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177</v>
      </c>
      <c r="BT209">
        <v>287</v>
      </c>
      <c r="BU209" s="104">
        <v>22.2</v>
      </c>
      <c r="CE209">
        <v>133</v>
      </c>
      <c r="CF209">
        <v>9</v>
      </c>
      <c r="CG209">
        <v>4.0999999999999996</v>
      </c>
      <c r="CH209">
        <v>197</v>
      </c>
    </row>
    <row r="210" spans="1:86">
      <c r="A210" t="s">
        <v>208</v>
      </c>
      <c r="B210" s="18">
        <v>3</v>
      </c>
      <c r="C210" s="18">
        <v>0</v>
      </c>
      <c r="D210" s="18">
        <v>0</v>
      </c>
      <c r="E210" s="18">
        <v>0</v>
      </c>
      <c r="F210" s="18">
        <v>1</v>
      </c>
      <c r="G210" s="18">
        <v>0</v>
      </c>
      <c r="H210" s="18">
        <v>1</v>
      </c>
      <c r="I210" s="18">
        <v>0</v>
      </c>
      <c r="J210">
        <v>35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 s="19">
        <v>3550</v>
      </c>
      <c r="AW210" s="19">
        <v>51</v>
      </c>
      <c r="BI210">
        <v>0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1</v>
      </c>
      <c r="BR210">
        <v>0</v>
      </c>
      <c r="BS210">
        <v>183</v>
      </c>
      <c r="BT210">
        <v>307</v>
      </c>
      <c r="BU210" s="104">
        <v>6.7</v>
      </c>
      <c r="CE210">
        <v>114</v>
      </c>
      <c r="CF210">
        <v>9.6999999999999993</v>
      </c>
      <c r="CG210">
        <v>3.4</v>
      </c>
      <c r="CH210">
        <v>179</v>
      </c>
    </row>
    <row r="211" spans="1:86">
      <c r="A211" t="s">
        <v>209</v>
      </c>
      <c r="B211" s="18">
        <v>3</v>
      </c>
      <c r="C211" s="18">
        <v>1</v>
      </c>
      <c r="D211" s="18">
        <v>1</v>
      </c>
      <c r="E211" s="18">
        <v>0</v>
      </c>
      <c r="F211" s="18">
        <v>0</v>
      </c>
      <c r="G211" s="18">
        <v>1</v>
      </c>
      <c r="H211" s="18">
        <v>0</v>
      </c>
      <c r="I211" s="18">
        <v>1</v>
      </c>
      <c r="J211">
        <v>34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 s="19">
        <v>3620</v>
      </c>
      <c r="AW211" s="19">
        <v>52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176</v>
      </c>
      <c r="BT211">
        <v>318</v>
      </c>
      <c r="BU211" s="104">
        <v>34.6</v>
      </c>
      <c r="CE211">
        <v>134</v>
      </c>
      <c r="CF211">
        <v>19</v>
      </c>
      <c r="CG211">
        <v>4.0999999999999996</v>
      </c>
      <c r="CH211">
        <v>196</v>
      </c>
    </row>
    <row r="212" spans="1:86">
      <c r="A212" t="s">
        <v>210</v>
      </c>
      <c r="B212" s="18">
        <v>3</v>
      </c>
      <c r="C212" s="18">
        <v>1</v>
      </c>
      <c r="D212" s="18">
        <v>0</v>
      </c>
      <c r="E212" s="18">
        <v>0</v>
      </c>
      <c r="F212" s="18">
        <v>0</v>
      </c>
      <c r="G212" s="18">
        <v>1</v>
      </c>
      <c r="H212" s="18">
        <v>0</v>
      </c>
      <c r="I212" s="18">
        <v>1</v>
      </c>
      <c r="J212">
        <v>34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 s="19">
        <v>3780</v>
      </c>
      <c r="AW212" s="19">
        <v>59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217</v>
      </c>
      <c r="BT212">
        <v>215</v>
      </c>
      <c r="BU212" s="104">
        <v>26.5</v>
      </c>
      <c r="CE212">
        <v>112</v>
      </c>
      <c r="CF212">
        <v>11.4</v>
      </c>
      <c r="CG212">
        <v>4.4000000000000004</v>
      </c>
      <c r="CH212">
        <v>269</v>
      </c>
    </row>
    <row r="213" spans="1:86">
      <c r="A213" t="s">
        <v>211</v>
      </c>
      <c r="B213" s="18">
        <v>3</v>
      </c>
      <c r="C213" s="18">
        <v>1</v>
      </c>
      <c r="D213" s="18">
        <v>0</v>
      </c>
      <c r="E213" s="18">
        <v>0</v>
      </c>
      <c r="F213" s="18">
        <v>0</v>
      </c>
      <c r="G213" s="18">
        <v>1</v>
      </c>
      <c r="H213" s="18">
        <v>0</v>
      </c>
      <c r="I213" s="18">
        <v>1</v>
      </c>
      <c r="J213">
        <v>42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0</v>
      </c>
      <c r="AV213" s="19">
        <v>3010</v>
      </c>
      <c r="AW213" s="19">
        <v>49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0</v>
      </c>
      <c r="BS213">
        <v>188</v>
      </c>
      <c r="BT213">
        <v>187</v>
      </c>
      <c r="BU213" s="104">
        <v>14.6</v>
      </c>
      <c r="CE213">
        <v>100</v>
      </c>
      <c r="CF213">
        <v>8.9</v>
      </c>
      <c r="CG213">
        <v>3.3</v>
      </c>
      <c r="CH213">
        <v>176</v>
      </c>
    </row>
    <row r="214" spans="1:86">
      <c r="A214" t="s">
        <v>212</v>
      </c>
      <c r="B214" s="18">
        <v>3</v>
      </c>
      <c r="C214" s="18">
        <v>1</v>
      </c>
      <c r="D214" s="18">
        <v>1</v>
      </c>
      <c r="E214" s="18">
        <v>0</v>
      </c>
      <c r="F214" s="18">
        <v>0</v>
      </c>
      <c r="G214" s="18">
        <v>1</v>
      </c>
      <c r="H214" s="18">
        <v>0</v>
      </c>
      <c r="I214" s="18">
        <v>1</v>
      </c>
      <c r="J214">
        <v>38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 s="19">
        <v>2680</v>
      </c>
      <c r="AW214" s="19">
        <v>47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0</v>
      </c>
      <c r="BS214">
        <v>169</v>
      </c>
      <c r="BT214">
        <v>279</v>
      </c>
      <c r="BU214" s="104">
        <v>14.8</v>
      </c>
      <c r="CE214">
        <v>122</v>
      </c>
      <c r="CF214">
        <v>8.6</v>
      </c>
      <c r="CG214">
        <v>3.8</v>
      </c>
      <c r="CH214">
        <v>168</v>
      </c>
    </row>
    <row r="215" spans="1:86">
      <c r="A215" t="s">
        <v>213</v>
      </c>
      <c r="B215" s="18">
        <v>3</v>
      </c>
      <c r="C215" s="18">
        <v>1</v>
      </c>
      <c r="D215" s="18">
        <v>1</v>
      </c>
      <c r="E215" s="18">
        <v>0</v>
      </c>
      <c r="F215" s="18">
        <v>0</v>
      </c>
      <c r="G215" s="18">
        <v>1</v>
      </c>
      <c r="H215" s="18">
        <v>0</v>
      </c>
      <c r="I215" s="18">
        <v>1</v>
      </c>
      <c r="J215">
        <v>35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 s="19">
        <v>3130</v>
      </c>
      <c r="AW215" s="19">
        <v>49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181</v>
      </c>
      <c r="BT215">
        <v>283</v>
      </c>
      <c r="BU215" s="104">
        <v>22.7</v>
      </c>
      <c r="CE215">
        <v>118</v>
      </c>
      <c r="CF215">
        <v>10.199999999999999</v>
      </c>
      <c r="CG215">
        <v>4.8</v>
      </c>
      <c r="CH215">
        <v>234</v>
      </c>
    </row>
    <row r="216" spans="1:86">
      <c r="A216" t="s">
        <v>214</v>
      </c>
      <c r="B216" s="18">
        <v>3</v>
      </c>
      <c r="C216" s="18">
        <v>1</v>
      </c>
      <c r="D216" s="18">
        <v>0</v>
      </c>
      <c r="E216" s="18">
        <v>0</v>
      </c>
      <c r="F216" s="18">
        <v>0</v>
      </c>
      <c r="G216" s="18">
        <v>1</v>
      </c>
      <c r="H216" s="18">
        <v>0</v>
      </c>
      <c r="I216" s="18">
        <v>1</v>
      </c>
      <c r="J216">
        <v>36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 s="19">
        <v>4060</v>
      </c>
      <c r="AW216" s="19">
        <v>54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1</v>
      </c>
      <c r="BQ216">
        <v>0</v>
      </c>
      <c r="BR216">
        <v>0</v>
      </c>
      <c r="BS216">
        <v>170</v>
      </c>
      <c r="BT216">
        <v>314</v>
      </c>
      <c r="BU216" s="104">
        <v>26</v>
      </c>
      <c r="CE216">
        <v>107</v>
      </c>
      <c r="CF216">
        <v>10.3</v>
      </c>
      <c r="CG216">
        <v>3.7</v>
      </c>
      <c r="CH216">
        <v>304</v>
      </c>
    </row>
    <row r="217" spans="1:86">
      <c r="A217" t="s">
        <v>215</v>
      </c>
      <c r="B217" s="18">
        <v>3</v>
      </c>
      <c r="C217" s="18">
        <v>1</v>
      </c>
      <c r="D217" s="18">
        <v>1</v>
      </c>
      <c r="E217" s="18">
        <v>0</v>
      </c>
      <c r="F217" s="18">
        <v>0</v>
      </c>
      <c r="G217" s="18">
        <v>1</v>
      </c>
      <c r="H217" s="18">
        <v>0</v>
      </c>
      <c r="I217" s="18">
        <v>1</v>
      </c>
      <c r="J217">
        <v>32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 s="19">
        <v>3420</v>
      </c>
      <c r="AW217" s="19">
        <v>51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0</v>
      </c>
      <c r="BS217">
        <v>181</v>
      </c>
      <c r="BT217">
        <v>184</v>
      </c>
      <c r="BU217" s="104">
        <v>19.399999999999999</v>
      </c>
      <c r="CE217">
        <v>142</v>
      </c>
      <c r="CF217">
        <v>10.199999999999999</v>
      </c>
      <c r="CG217">
        <v>5.0999999999999996</v>
      </c>
      <c r="CH217">
        <v>188</v>
      </c>
    </row>
    <row r="218" spans="1:86">
      <c r="A218" t="s">
        <v>216</v>
      </c>
      <c r="B218" s="18">
        <v>3</v>
      </c>
      <c r="C218" s="18">
        <v>0</v>
      </c>
      <c r="D218" s="18">
        <v>1</v>
      </c>
      <c r="E218" s="18">
        <v>0</v>
      </c>
      <c r="F218" s="18">
        <v>0</v>
      </c>
      <c r="G218" s="18">
        <v>1</v>
      </c>
      <c r="H218" s="18">
        <v>1</v>
      </c>
      <c r="I218" s="18">
        <v>0</v>
      </c>
      <c r="J218">
        <v>37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1</v>
      </c>
      <c r="AJ218">
        <v>0</v>
      </c>
      <c r="AK218">
        <v>0</v>
      </c>
      <c r="AL218">
        <v>1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 s="19">
        <v>3430</v>
      </c>
      <c r="AW218" s="19">
        <v>50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202</v>
      </c>
      <c r="BT218">
        <v>166</v>
      </c>
      <c r="BU218" s="104">
        <v>16.100000000000001</v>
      </c>
      <c r="CE218">
        <v>134</v>
      </c>
      <c r="CF218">
        <v>7.6</v>
      </c>
      <c r="CG218">
        <v>4.0999999999999996</v>
      </c>
      <c r="CH218">
        <v>172</v>
      </c>
    </row>
    <row r="219" spans="1:86" s="13" customFormat="1">
      <c r="A219" s="13" t="s">
        <v>217</v>
      </c>
      <c r="B219" s="60">
        <v>3</v>
      </c>
      <c r="C219" s="60">
        <v>1</v>
      </c>
      <c r="D219" s="60">
        <v>1</v>
      </c>
      <c r="E219" s="60">
        <v>1</v>
      </c>
      <c r="F219" s="60">
        <v>0</v>
      </c>
      <c r="G219" s="60">
        <v>1</v>
      </c>
      <c r="H219" s="60">
        <v>0</v>
      </c>
      <c r="I219" s="60">
        <v>1</v>
      </c>
      <c r="J219" s="13">
        <v>32</v>
      </c>
      <c r="U219" s="13">
        <v>0</v>
      </c>
      <c r="V219" s="13">
        <v>1</v>
      </c>
      <c r="W219" s="13">
        <v>1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1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1</v>
      </c>
      <c r="AP219" s="13">
        <v>0</v>
      </c>
      <c r="AQ219" s="13">
        <v>0</v>
      </c>
      <c r="AR219" s="13">
        <v>0</v>
      </c>
      <c r="AS219" s="13">
        <v>0</v>
      </c>
      <c r="AT219" s="13">
        <v>1</v>
      </c>
      <c r="AU219" s="13">
        <v>0</v>
      </c>
      <c r="AV219" s="56">
        <v>2730</v>
      </c>
      <c r="AW219" s="56">
        <v>47</v>
      </c>
      <c r="AX219" s="56"/>
      <c r="AY219" s="56"/>
      <c r="AZ219" s="56"/>
      <c r="BA219" s="56"/>
      <c r="BB219" s="56"/>
      <c r="BC219" s="56"/>
      <c r="BD219" s="56"/>
      <c r="BI219" s="13">
        <v>0</v>
      </c>
      <c r="BJ219" s="13">
        <v>0</v>
      </c>
      <c r="BK219" s="13">
        <v>0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225</v>
      </c>
      <c r="BT219" s="13">
        <v>218</v>
      </c>
      <c r="BU219" s="105">
        <v>20.2</v>
      </c>
      <c r="CE219" s="13">
        <v>121</v>
      </c>
      <c r="CF219" s="13">
        <v>10.6</v>
      </c>
      <c r="CG219" s="13">
        <v>3.9</v>
      </c>
      <c r="CH219" s="13">
        <v>196</v>
      </c>
    </row>
    <row r="220" spans="1:86" s="13" customFormat="1">
      <c r="A220" s="13" t="s">
        <v>218</v>
      </c>
      <c r="B220" s="60">
        <v>3</v>
      </c>
      <c r="C220" s="60">
        <v>0</v>
      </c>
      <c r="D220" s="60">
        <v>0</v>
      </c>
      <c r="E220" s="60">
        <v>0</v>
      </c>
      <c r="F220" s="60">
        <v>1</v>
      </c>
      <c r="G220" s="60">
        <v>0</v>
      </c>
      <c r="H220" s="60">
        <v>1</v>
      </c>
      <c r="I220" s="60">
        <v>0</v>
      </c>
      <c r="J220" s="13">
        <v>33</v>
      </c>
      <c r="U220" s="13">
        <v>1</v>
      </c>
      <c r="V220" s="13">
        <v>0</v>
      </c>
      <c r="W220" s="13">
        <v>0</v>
      </c>
      <c r="X220" s="13">
        <v>0</v>
      </c>
      <c r="Y220" s="13">
        <v>1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1</v>
      </c>
      <c r="AJ220" s="13">
        <v>0</v>
      </c>
      <c r="AK220" s="13">
        <v>1</v>
      </c>
      <c r="AL220" s="13">
        <v>0</v>
      </c>
      <c r="AM220" s="13">
        <v>0</v>
      </c>
      <c r="AN220" s="13">
        <v>0</v>
      </c>
      <c r="AO220" s="13">
        <v>1</v>
      </c>
      <c r="AP220" s="13">
        <v>0</v>
      </c>
      <c r="AQ220" s="13">
        <v>0</v>
      </c>
      <c r="AR220" s="13">
        <v>0</v>
      </c>
      <c r="AS220" s="13">
        <v>1</v>
      </c>
      <c r="AT220" s="13">
        <v>0</v>
      </c>
      <c r="AU220" s="13">
        <v>0</v>
      </c>
      <c r="AV220" s="56">
        <v>2070</v>
      </c>
      <c r="AW220" s="56">
        <v>42</v>
      </c>
      <c r="AX220" s="56">
        <v>2300</v>
      </c>
      <c r="AY220" s="56">
        <v>43</v>
      </c>
      <c r="AZ220" s="56"/>
      <c r="BA220" s="56"/>
      <c r="BB220" s="56"/>
      <c r="BC220" s="56"/>
      <c r="BD220" s="56"/>
      <c r="BI220" s="13">
        <v>0</v>
      </c>
      <c r="BJ220" s="13">
        <v>0</v>
      </c>
      <c r="BK220" s="13">
        <v>0</v>
      </c>
      <c r="BL220" s="13">
        <v>1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145</v>
      </c>
      <c r="BT220" s="13">
        <v>237</v>
      </c>
      <c r="BU220" s="105">
        <v>13.5</v>
      </c>
      <c r="BV220" s="13">
        <v>171</v>
      </c>
      <c r="BW220" s="13">
        <v>294</v>
      </c>
      <c r="BX220" s="13">
        <v>13.9</v>
      </c>
      <c r="CE220" s="13">
        <v>121</v>
      </c>
      <c r="CF220" s="13">
        <v>9.6</v>
      </c>
      <c r="CG220" s="13">
        <v>3.6</v>
      </c>
      <c r="CH220" s="14">
        <v>113</v>
      </c>
    </row>
    <row r="221" spans="1:86">
      <c r="A221" t="s">
        <v>219</v>
      </c>
      <c r="B221" s="18">
        <v>3</v>
      </c>
      <c r="C221" s="18">
        <v>0</v>
      </c>
      <c r="D221" s="18">
        <v>0</v>
      </c>
      <c r="E221" s="18">
        <v>0</v>
      </c>
      <c r="F221" s="18">
        <v>1</v>
      </c>
      <c r="G221" s="18">
        <v>0</v>
      </c>
      <c r="H221" s="18">
        <v>1</v>
      </c>
      <c r="I221" s="18">
        <v>0</v>
      </c>
      <c r="J221">
        <v>32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 s="19">
        <v>3660</v>
      </c>
      <c r="AW221" s="19">
        <v>53</v>
      </c>
      <c r="BI221">
        <v>1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156</v>
      </c>
      <c r="BT221">
        <v>305</v>
      </c>
      <c r="BU221" s="104">
        <v>19.7</v>
      </c>
      <c r="CE221">
        <v>105</v>
      </c>
      <c r="CF221">
        <v>12.5</v>
      </c>
      <c r="CG221">
        <v>3.4</v>
      </c>
      <c r="CH221">
        <v>353</v>
      </c>
    </row>
    <row r="222" spans="1:86">
      <c r="A222" t="s">
        <v>220</v>
      </c>
      <c r="B222" s="18">
        <v>3</v>
      </c>
      <c r="C222" s="18">
        <v>1</v>
      </c>
      <c r="D222" s="18">
        <v>0</v>
      </c>
      <c r="E222" s="18">
        <v>0</v>
      </c>
      <c r="F222" s="18">
        <v>0</v>
      </c>
      <c r="G222" s="18">
        <v>1</v>
      </c>
      <c r="H222" s="18">
        <v>0</v>
      </c>
      <c r="I222" s="18">
        <v>1</v>
      </c>
      <c r="J222">
        <v>37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 s="19">
        <v>3570</v>
      </c>
      <c r="AW222" s="19">
        <v>53</v>
      </c>
      <c r="BI222">
        <v>0</v>
      </c>
      <c r="BJ222">
        <v>1</v>
      </c>
      <c r="BK222">
        <v>0</v>
      </c>
      <c r="BL222">
        <v>1</v>
      </c>
      <c r="BM222">
        <v>0</v>
      </c>
      <c r="BN222">
        <v>0</v>
      </c>
      <c r="BO222">
        <v>1</v>
      </c>
      <c r="BP222">
        <v>1</v>
      </c>
      <c r="BQ222">
        <v>0</v>
      </c>
      <c r="BR222">
        <v>0</v>
      </c>
      <c r="BS222">
        <v>187</v>
      </c>
      <c r="BT222">
        <v>196</v>
      </c>
      <c r="BU222" s="104">
        <v>20.7</v>
      </c>
      <c r="CE222">
        <v>101</v>
      </c>
      <c r="CF222">
        <v>12.3</v>
      </c>
      <c r="CG222">
        <v>3.1</v>
      </c>
      <c r="CH222" s="14">
        <v>120</v>
      </c>
    </row>
    <row r="223" spans="1:86" s="13" customFormat="1">
      <c r="A223" s="13" t="s">
        <v>221</v>
      </c>
      <c r="B223" s="60">
        <v>3</v>
      </c>
      <c r="C223" s="60">
        <v>1</v>
      </c>
      <c r="D223" s="60">
        <v>0</v>
      </c>
      <c r="E223" s="60">
        <v>1</v>
      </c>
      <c r="F223" s="60">
        <v>0</v>
      </c>
      <c r="G223" s="60">
        <v>1</v>
      </c>
      <c r="H223" s="60">
        <v>0</v>
      </c>
      <c r="I223" s="60">
        <v>1</v>
      </c>
      <c r="J223" s="13">
        <v>39</v>
      </c>
      <c r="U223" s="13">
        <v>1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1</v>
      </c>
      <c r="AF223" s="13">
        <v>0</v>
      </c>
      <c r="AG223" s="13">
        <v>0</v>
      </c>
      <c r="AH223" s="13">
        <v>0</v>
      </c>
      <c r="AI223" s="13">
        <v>0</v>
      </c>
      <c r="AJ223" s="13">
        <v>1</v>
      </c>
      <c r="AK223" s="13">
        <v>0</v>
      </c>
      <c r="AL223" s="13">
        <v>0</v>
      </c>
      <c r="AM223" s="13">
        <v>0</v>
      </c>
      <c r="AN223" s="13">
        <v>0</v>
      </c>
      <c r="AO223" s="13">
        <v>1</v>
      </c>
      <c r="AP223" s="13">
        <v>0</v>
      </c>
      <c r="AQ223" s="13">
        <v>0</v>
      </c>
      <c r="AR223" s="13">
        <v>0</v>
      </c>
      <c r="AS223" s="13">
        <v>1</v>
      </c>
      <c r="AT223" s="13">
        <v>0</v>
      </c>
      <c r="AU223" s="13">
        <v>0</v>
      </c>
      <c r="AV223" s="56">
        <v>1680</v>
      </c>
      <c r="AW223" s="56">
        <v>42</v>
      </c>
      <c r="AX223" s="56"/>
      <c r="AY223" s="56"/>
      <c r="AZ223" s="56"/>
      <c r="BA223" s="56"/>
      <c r="BB223" s="56"/>
      <c r="BC223" s="56"/>
      <c r="BD223" s="56"/>
      <c r="BI223" s="13">
        <v>0</v>
      </c>
      <c r="BJ223" s="13">
        <v>1</v>
      </c>
      <c r="BK223" s="13">
        <v>0</v>
      </c>
      <c r="BL223" s="13">
        <v>0</v>
      </c>
      <c r="BM223" s="13">
        <v>1</v>
      </c>
      <c r="BN223" s="13">
        <v>1</v>
      </c>
      <c r="BO223" s="13">
        <v>1</v>
      </c>
      <c r="BP223" s="13">
        <v>1</v>
      </c>
      <c r="BQ223" s="13">
        <v>0</v>
      </c>
      <c r="BR223" s="13">
        <v>0</v>
      </c>
      <c r="BS223" s="13">
        <v>140</v>
      </c>
      <c r="BT223" s="13">
        <v>263</v>
      </c>
      <c r="BU223" s="105">
        <v>7.9</v>
      </c>
      <c r="CE223" s="14">
        <v>99</v>
      </c>
      <c r="CF223" s="13">
        <v>6.9</v>
      </c>
      <c r="CG223" s="13">
        <v>3.1</v>
      </c>
      <c r="CH223" s="14">
        <v>119</v>
      </c>
    </row>
    <row r="224" spans="1:86">
      <c r="A224" t="s">
        <v>222</v>
      </c>
      <c r="B224" s="18">
        <v>3</v>
      </c>
      <c r="C224" s="18">
        <v>1</v>
      </c>
      <c r="D224" s="18">
        <v>1</v>
      </c>
      <c r="E224" s="18">
        <v>0</v>
      </c>
      <c r="F224" s="18">
        <v>0</v>
      </c>
      <c r="G224" s="18">
        <v>1</v>
      </c>
      <c r="H224" s="18">
        <v>0</v>
      </c>
      <c r="I224" s="18">
        <v>1</v>
      </c>
      <c r="J224">
        <v>38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 s="19">
        <v>3470</v>
      </c>
      <c r="AW224" s="19">
        <v>51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222</v>
      </c>
      <c r="BT224">
        <v>211</v>
      </c>
      <c r="BU224" s="104">
        <v>22</v>
      </c>
      <c r="CE224">
        <v>130</v>
      </c>
      <c r="CF224">
        <v>9.9</v>
      </c>
      <c r="CG224">
        <v>4.5</v>
      </c>
      <c r="CH224">
        <v>166</v>
      </c>
    </row>
    <row r="225" spans="1:86">
      <c r="A225" t="s">
        <v>223</v>
      </c>
      <c r="B225" s="18">
        <v>3</v>
      </c>
      <c r="C225" s="18">
        <v>1</v>
      </c>
      <c r="D225" s="18">
        <v>1</v>
      </c>
      <c r="E225" s="18">
        <v>0</v>
      </c>
      <c r="F225" s="18">
        <v>0</v>
      </c>
      <c r="G225" s="18">
        <v>1</v>
      </c>
      <c r="H225" s="18">
        <v>0</v>
      </c>
      <c r="I225" s="18">
        <v>1</v>
      </c>
      <c r="J225">
        <v>38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 s="19">
        <v>3470</v>
      </c>
      <c r="AW225" s="19">
        <v>51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229</v>
      </c>
      <c r="BT225">
        <v>327</v>
      </c>
      <c r="BU225" s="104">
        <v>33.1</v>
      </c>
      <c r="CE225">
        <v>116</v>
      </c>
      <c r="CF225">
        <v>10.1</v>
      </c>
      <c r="CG225">
        <v>3.9</v>
      </c>
      <c r="CH225">
        <v>271</v>
      </c>
    </row>
    <row r="226" spans="1:86">
      <c r="A226" t="s">
        <v>224</v>
      </c>
      <c r="B226" s="18">
        <v>3</v>
      </c>
      <c r="C226" s="18">
        <v>1</v>
      </c>
      <c r="D226" s="18">
        <v>1</v>
      </c>
      <c r="E226" s="18">
        <v>0</v>
      </c>
      <c r="F226" s="18">
        <v>0</v>
      </c>
      <c r="G226" s="18">
        <v>1</v>
      </c>
      <c r="H226" s="18">
        <v>0</v>
      </c>
      <c r="I226" s="18">
        <v>1</v>
      </c>
      <c r="J226">
        <v>36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 s="19">
        <v>3520</v>
      </c>
      <c r="AW226" s="19">
        <v>54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181</v>
      </c>
      <c r="BT226">
        <v>354</v>
      </c>
      <c r="BU226" s="104">
        <v>22</v>
      </c>
      <c r="CE226">
        <v>132</v>
      </c>
      <c r="CF226">
        <v>7.9</v>
      </c>
      <c r="CG226">
        <v>4</v>
      </c>
      <c r="CH226" s="14">
        <v>130</v>
      </c>
    </row>
    <row r="227" spans="1:86">
      <c r="A227" t="s">
        <v>225</v>
      </c>
      <c r="B227" s="18">
        <v>3</v>
      </c>
      <c r="C227" s="18">
        <v>1</v>
      </c>
      <c r="D227" s="18">
        <v>1</v>
      </c>
      <c r="E227" s="18">
        <v>0</v>
      </c>
      <c r="F227" s="18">
        <v>0</v>
      </c>
      <c r="G227" s="18">
        <v>1</v>
      </c>
      <c r="H227" s="18">
        <v>0</v>
      </c>
      <c r="I227" s="18">
        <v>1</v>
      </c>
      <c r="J227">
        <v>37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 s="19">
        <v>3950</v>
      </c>
      <c r="AW227" s="19">
        <v>53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180</v>
      </c>
      <c r="BT227">
        <v>263</v>
      </c>
      <c r="BU227" s="104">
        <v>19.399999999999999</v>
      </c>
      <c r="CE227">
        <v>113</v>
      </c>
      <c r="CF227">
        <v>8.4</v>
      </c>
      <c r="CG227">
        <v>3.6</v>
      </c>
      <c r="CH227">
        <v>151</v>
      </c>
    </row>
    <row r="228" spans="1:86">
      <c r="A228" t="s">
        <v>226</v>
      </c>
      <c r="B228" s="18">
        <v>3</v>
      </c>
      <c r="C228" s="18">
        <v>1</v>
      </c>
      <c r="D228" s="18">
        <v>1</v>
      </c>
      <c r="E228" s="18">
        <v>0</v>
      </c>
      <c r="F228" s="18">
        <v>0</v>
      </c>
      <c r="G228" s="18">
        <v>1</v>
      </c>
      <c r="H228" s="18">
        <v>0</v>
      </c>
      <c r="I228" s="18">
        <v>1</v>
      </c>
      <c r="J228">
        <v>37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 s="19">
        <v>3040</v>
      </c>
      <c r="AW228" s="19">
        <v>51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182</v>
      </c>
      <c r="BT228">
        <v>185</v>
      </c>
      <c r="BU228" s="104">
        <v>26.5</v>
      </c>
      <c r="CE228" s="14">
        <v>90</v>
      </c>
      <c r="CF228">
        <v>11.8</v>
      </c>
      <c r="CG228">
        <v>4.2</v>
      </c>
      <c r="CH228">
        <v>275</v>
      </c>
    </row>
    <row r="229" spans="1:86">
      <c r="A229" t="s">
        <v>227</v>
      </c>
      <c r="B229" s="18">
        <v>3</v>
      </c>
      <c r="C229" s="18">
        <v>1</v>
      </c>
      <c r="D229" s="18">
        <v>0</v>
      </c>
      <c r="E229" s="18">
        <v>1</v>
      </c>
      <c r="F229" s="18">
        <v>0</v>
      </c>
      <c r="G229" s="18">
        <v>1</v>
      </c>
      <c r="H229" s="18">
        <v>0</v>
      </c>
      <c r="I229" s="18">
        <v>1</v>
      </c>
      <c r="J229">
        <v>37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 s="19">
        <v>3360</v>
      </c>
      <c r="AW229" s="19">
        <v>52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221</v>
      </c>
      <c r="BT229">
        <v>222</v>
      </c>
      <c r="BU229" s="104">
        <v>16.600000000000001</v>
      </c>
      <c r="CE229">
        <v>108</v>
      </c>
      <c r="CF229">
        <v>8.8000000000000007</v>
      </c>
      <c r="CG229">
        <v>3.5</v>
      </c>
      <c r="CH229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C53B-9C51-4E5D-A8C6-9CBD17248CF8}">
  <dimension ref="A1:D76"/>
  <sheetViews>
    <sheetView topLeftCell="A48" workbookViewId="0">
      <selection activeCell="C64" sqref="C64"/>
    </sheetView>
  </sheetViews>
  <sheetFormatPr defaultRowHeight="14.4"/>
  <sheetData>
    <row r="1" spans="2:4">
      <c r="B1" t="s">
        <v>343</v>
      </c>
      <c r="C1" t="s">
        <v>342</v>
      </c>
      <c r="D1" t="s">
        <v>341</v>
      </c>
    </row>
    <row r="2" spans="2:4">
      <c r="B2" s="97">
        <v>184</v>
      </c>
      <c r="C2" s="97">
        <v>250</v>
      </c>
      <c r="D2" s="102">
        <v>22</v>
      </c>
    </row>
    <row r="3" spans="2:4">
      <c r="B3">
        <v>194</v>
      </c>
      <c r="C3">
        <v>395</v>
      </c>
      <c r="D3" s="54">
        <v>21</v>
      </c>
    </row>
    <row r="4" spans="2:4">
      <c r="B4">
        <v>195</v>
      </c>
      <c r="C4">
        <v>319</v>
      </c>
      <c r="D4" s="54">
        <v>23</v>
      </c>
    </row>
    <row r="5" spans="2:4">
      <c r="B5">
        <v>173</v>
      </c>
      <c r="C5">
        <v>302</v>
      </c>
      <c r="D5" s="54">
        <v>20</v>
      </c>
    </row>
    <row r="6" spans="2:4">
      <c r="B6">
        <v>190</v>
      </c>
      <c r="C6">
        <v>241</v>
      </c>
      <c r="D6" s="54">
        <v>22</v>
      </c>
    </row>
    <row r="7" spans="2:4">
      <c r="B7">
        <v>189</v>
      </c>
      <c r="C7">
        <v>290</v>
      </c>
      <c r="D7" s="54">
        <v>17</v>
      </c>
    </row>
    <row r="8" spans="2:4">
      <c r="B8">
        <v>191</v>
      </c>
      <c r="C8">
        <v>332</v>
      </c>
      <c r="D8" s="54">
        <v>15</v>
      </c>
    </row>
    <row r="9" spans="2:4">
      <c r="B9">
        <v>200</v>
      </c>
      <c r="C9">
        <v>329</v>
      </c>
      <c r="D9" s="54">
        <v>25</v>
      </c>
    </row>
    <row r="10" spans="2:4">
      <c r="B10">
        <v>172</v>
      </c>
      <c r="C10">
        <v>324</v>
      </c>
      <c r="D10" s="54">
        <v>16</v>
      </c>
    </row>
    <row r="11" spans="2:4">
      <c r="B11">
        <v>180</v>
      </c>
      <c r="C11">
        <v>405</v>
      </c>
      <c r="D11" s="54">
        <v>18</v>
      </c>
    </row>
    <row r="12" spans="2:4">
      <c r="B12">
        <v>191</v>
      </c>
      <c r="C12">
        <v>158</v>
      </c>
      <c r="D12" s="54">
        <v>21</v>
      </c>
    </row>
    <row r="13" spans="2:4">
      <c r="B13">
        <v>166</v>
      </c>
      <c r="C13">
        <v>186</v>
      </c>
      <c r="D13" s="54">
        <v>11</v>
      </c>
    </row>
    <row r="14" spans="2:4">
      <c r="B14">
        <v>176</v>
      </c>
      <c r="C14">
        <v>262</v>
      </c>
      <c r="D14" s="54">
        <v>16</v>
      </c>
    </row>
    <row r="15" spans="2:4">
      <c r="B15">
        <v>197</v>
      </c>
      <c r="C15">
        <v>291</v>
      </c>
      <c r="D15" s="54">
        <v>19</v>
      </c>
    </row>
    <row r="16" spans="2:4">
      <c r="B16">
        <v>201</v>
      </c>
      <c r="C16">
        <v>212</v>
      </c>
      <c r="D16" s="54">
        <v>15</v>
      </c>
    </row>
    <row r="17" spans="2:4">
      <c r="B17">
        <v>164</v>
      </c>
      <c r="C17">
        <v>333</v>
      </c>
      <c r="D17" s="54">
        <v>24</v>
      </c>
    </row>
    <row r="18" spans="2:4">
      <c r="B18">
        <v>221</v>
      </c>
      <c r="C18">
        <v>205</v>
      </c>
      <c r="D18" s="54">
        <v>14</v>
      </c>
    </row>
    <row r="19" spans="2:4">
      <c r="B19" s="14">
        <v>133</v>
      </c>
      <c r="C19" s="13">
        <v>219</v>
      </c>
      <c r="D19" s="57">
        <v>7</v>
      </c>
    </row>
    <row r="20" spans="2:4">
      <c r="B20" s="13">
        <v>164</v>
      </c>
      <c r="C20" s="13">
        <v>339</v>
      </c>
      <c r="D20" s="57">
        <v>17</v>
      </c>
    </row>
    <row r="21" spans="2:4">
      <c r="B21">
        <v>156</v>
      </c>
      <c r="C21">
        <v>245</v>
      </c>
      <c r="D21" s="54">
        <v>19</v>
      </c>
    </row>
    <row r="22" spans="2:4">
      <c r="B22">
        <v>178</v>
      </c>
      <c r="C22" s="14">
        <v>121</v>
      </c>
      <c r="D22" s="54">
        <v>11</v>
      </c>
    </row>
    <row r="23" spans="2:4">
      <c r="B23">
        <v>214</v>
      </c>
      <c r="C23">
        <v>185</v>
      </c>
      <c r="D23" s="54">
        <v>16</v>
      </c>
    </row>
    <row r="24" spans="2:4">
      <c r="B24" s="14">
        <v>137</v>
      </c>
      <c r="C24">
        <v>242</v>
      </c>
      <c r="D24" s="54">
        <v>19</v>
      </c>
    </row>
    <row r="25" spans="2:4">
      <c r="B25">
        <v>221</v>
      </c>
      <c r="C25">
        <v>368</v>
      </c>
      <c r="D25" s="54">
        <v>22</v>
      </c>
    </row>
    <row r="26" spans="2:4">
      <c r="B26">
        <v>201</v>
      </c>
      <c r="C26">
        <v>377</v>
      </c>
      <c r="D26" s="54">
        <v>23</v>
      </c>
    </row>
    <row r="27" spans="2:4">
      <c r="B27">
        <v>156</v>
      </c>
      <c r="C27">
        <v>233</v>
      </c>
      <c r="D27" s="54">
        <v>16</v>
      </c>
    </row>
    <row r="28" spans="2:4">
      <c r="B28">
        <v>168</v>
      </c>
      <c r="C28">
        <v>309</v>
      </c>
      <c r="D28" s="54">
        <v>23</v>
      </c>
    </row>
    <row r="29" spans="2:4">
      <c r="B29" s="14">
        <v>124</v>
      </c>
      <c r="C29" s="13">
        <v>249</v>
      </c>
      <c r="D29" s="57">
        <v>12</v>
      </c>
    </row>
    <row r="30" spans="2:4">
      <c r="B30">
        <v>195</v>
      </c>
      <c r="C30">
        <v>255</v>
      </c>
      <c r="D30" s="54">
        <v>27</v>
      </c>
    </row>
    <row r="31" spans="2:4">
      <c r="B31">
        <v>184</v>
      </c>
      <c r="C31">
        <v>371</v>
      </c>
      <c r="D31" s="54">
        <v>25</v>
      </c>
    </row>
    <row r="32" spans="2:4">
      <c r="B32">
        <v>161</v>
      </c>
      <c r="C32">
        <v>264</v>
      </c>
      <c r="D32" s="54">
        <v>22</v>
      </c>
    </row>
    <row r="33" spans="2:4">
      <c r="B33">
        <v>204</v>
      </c>
      <c r="C33">
        <v>253</v>
      </c>
      <c r="D33" s="54">
        <v>14</v>
      </c>
    </row>
    <row r="34" spans="2:4">
      <c r="B34">
        <v>241</v>
      </c>
      <c r="C34">
        <v>363</v>
      </c>
      <c r="D34" s="54">
        <v>21</v>
      </c>
    </row>
    <row r="35" spans="2:4">
      <c r="B35">
        <v>212</v>
      </c>
      <c r="C35">
        <v>238</v>
      </c>
      <c r="D35" s="54">
        <v>30</v>
      </c>
    </row>
    <row r="36" spans="2:4">
      <c r="B36">
        <v>218</v>
      </c>
      <c r="C36">
        <v>190</v>
      </c>
      <c r="D36" s="54">
        <v>19</v>
      </c>
    </row>
    <row r="37" spans="2:4">
      <c r="B37">
        <v>201</v>
      </c>
      <c r="C37" s="14">
        <v>95</v>
      </c>
      <c r="D37" s="54">
        <v>16</v>
      </c>
    </row>
    <row r="38" spans="2:4">
      <c r="B38">
        <v>178</v>
      </c>
      <c r="C38">
        <v>260</v>
      </c>
      <c r="D38" s="54">
        <v>20</v>
      </c>
    </row>
    <row r="39" spans="2:4">
      <c r="B39">
        <v>183</v>
      </c>
      <c r="C39">
        <v>358</v>
      </c>
      <c r="D39" s="54">
        <v>16</v>
      </c>
    </row>
    <row r="40" spans="2:4">
      <c r="B40">
        <v>166</v>
      </c>
      <c r="C40">
        <v>337</v>
      </c>
      <c r="D40" s="54">
        <v>14</v>
      </c>
    </row>
    <row r="41" spans="2:4">
      <c r="B41">
        <v>178</v>
      </c>
      <c r="C41">
        <v>212</v>
      </c>
      <c r="D41" s="54">
        <v>19</v>
      </c>
    </row>
    <row r="42" spans="2:4">
      <c r="B42">
        <v>203</v>
      </c>
      <c r="C42">
        <v>344</v>
      </c>
      <c r="D42" s="54">
        <v>24</v>
      </c>
    </row>
    <row r="43" spans="2:4">
      <c r="B43" s="14">
        <v>143</v>
      </c>
      <c r="C43">
        <v>248</v>
      </c>
      <c r="D43" s="54">
        <v>21</v>
      </c>
    </row>
    <row r="44" spans="2:4">
      <c r="B44" s="14">
        <v>128</v>
      </c>
      <c r="C44" s="13">
        <v>215</v>
      </c>
      <c r="D44" s="57">
        <v>9</v>
      </c>
    </row>
    <row r="45" spans="2:4">
      <c r="B45" s="14">
        <v>149</v>
      </c>
      <c r="C45">
        <v>213</v>
      </c>
      <c r="D45" s="54">
        <v>12</v>
      </c>
    </row>
    <row r="46" spans="2:4">
      <c r="B46">
        <v>178</v>
      </c>
      <c r="C46">
        <v>299</v>
      </c>
      <c r="D46" s="54">
        <v>25</v>
      </c>
    </row>
    <row r="47" spans="2:4">
      <c r="B47">
        <v>222</v>
      </c>
      <c r="C47" s="14">
        <v>36</v>
      </c>
      <c r="D47" s="54">
        <v>31</v>
      </c>
    </row>
    <row r="48" spans="2:4">
      <c r="B48">
        <v>173</v>
      </c>
      <c r="C48">
        <v>337</v>
      </c>
      <c r="D48" s="54">
        <v>23</v>
      </c>
    </row>
    <row r="49" spans="2:4">
      <c r="B49">
        <v>184</v>
      </c>
      <c r="C49">
        <v>234</v>
      </c>
      <c r="D49" s="54">
        <v>22</v>
      </c>
    </row>
    <row r="50" spans="2:4">
      <c r="B50">
        <v>151</v>
      </c>
      <c r="C50">
        <v>206</v>
      </c>
      <c r="D50" s="54">
        <v>14</v>
      </c>
    </row>
    <row r="51" spans="2:4">
      <c r="B51">
        <v>193</v>
      </c>
      <c r="C51">
        <v>316</v>
      </c>
      <c r="D51" s="54">
        <v>22</v>
      </c>
    </row>
    <row r="52" spans="2:4">
      <c r="B52">
        <v>209</v>
      </c>
      <c r="C52">
        <v>249</v>
      </c>
      <c r="D52" s="54">
        <v>17</v>
      </c>
    </row>
    <row r="53" spans="2:4">
      <c r="B53">
        <v>218</v>
      </c>
      <c r="C53">
        <v>260</v>
      </c>
      <c r="D53" s="54">
        <v>25</v>
      </c>
    </row>
    <row r="54" spans="2:4">
      <c r="B54">
        <v>202</v>
      </c>
      <c r="C54">
        <v>252</v>
      </c>
      <c r="D54" s="54">
        <v>15</v>
      </c>
    </row>
    <row r="55" spans="2:4">
      <c r="B55">
        <v>163</v>
      </c>
      <c r="C55">
        <v>280</v>
      </c>
      <c r="D55" s="54">
        <v>13</v>
      </c>
    </row>
    <row r="56" spans="2:4">
      <c r="B56">
        <v>162</v>
      </c>
      <c r="C56">
        <v>273</v>
      </c>
      <c r="D56" s="54">
        <v>21</v>
      </c>
    </row>
    <row r="57" spans="2:4">
      <c r="B57">
        <v>174</v>
      </c>
      <c r="C57">
        <v>257</v>
      </c>
      <c r="D57" s="54">
        <v>19</v>
      </c>
    </row>
    <row r="58" spans="2:4">
      <c r="B58">
        <v>151</v>
      </c>
      <c r="C58">
        <v>473</v>
      </c>
      <c r="D58" s="54">
        <v>8</v>
      </c>
    </row>
    <row r="59" spans="2:4">
      <c r="B59">
        <v>188</v>
      </c>
      <c r="C59">
        <v>335</v>
      </c>
      <c r="D59" s="54">
        <v>25</v>
      </c>
    </row>
    <row r="60" spans="2:4">
      <c r="B60">
        <v>209</v>
      </c>
      <c r="C60">
        <v>357</v>
      </c>
      <c r="D60" s="54">
        <v>27</v>
      </c>
    </row>
    <row r="61" spans="2:4">
      <c r="B61">
        <v>171</v>
      </c>
      <c r="C61">
        <v>280</v>
      </c>
      <c r="D61" s="54">
        <v>11</v>
      </c>
    </row>
    <row r="62" spans="2:4">
      <c r="B62">
        <v>185</v>
      </c>
      <c r="C62">
        <v>265</v>
      </c>
      <c r="D62" s="54">
        <v>7</v>
      </c>
    </row>
    <row r="63" spans="2:4">
      <c r="B63">
        <v>179</v>
      </c>
      <c r="C63">
        <v>389</v>
      </c>
      <c r="D63" s="54">
        <v>17</v>
      </c>
    </row>
    <row r="64" spans="2:4">
      <c r="B64">
        <v>201</v>
      </c>
      <c r="C64" s="14">
        <v>85</v>
      </c>
      <c r="D64" s="54">
        <v>39</v>
      </c>
    </row>
    <row r="65" spans="1:4">
      <c r="B65">
        <v>199</v>
      </c>
      <c r="C65">
        <v>225</v>
      </c>
      <c r="D65" s="54">
        <v>17</v>
      </c>
    </row>
    <row r="66" spans="1:4">
      <c r="B66">
        <v>216</v>
      </c>
      <c r="C66">
        <v>261</v>
      </c>
      <c r="D66" s="54">
        <v>21</v>
      </c>
    </row>
    <row r="67" spans="1:4">
      <c r="B67">
        <v>198</v>
      </c>
      <c r="C67">
        <v>232</v>
      </c>
      <c r="D67" s="54">
        <v>15</v>
      </c>
    </row>
    <row r="68" spans="1:4">
      <c r="B68">
        <v>159</v>
      </c>
      <c r="C68">
        <v>369</v>
      </c>
      <c r="D68" s="54">
        <v>18</v>
      </c>
    </row>
    <row r="69" spans="1:4">
      <c r="B69">
        <v>182</v>
      </c>
      <c r="C69">
        <v>285</v>
      </c>
      <c r="D69" s="54">
        <v>25</v>
      </c>
    </row>
    <row r="70" spans="1:4">
      <c r="B70">
        <v>193</v>
      </c>
      <c r="C70">
        <v>379</v>
      </c>
      <c r="D70" s="54">
        <v>27</v>
      </c>
    </row>
    <row r="71" spans="1:4">
      <c r="B71">
        <v>162</v>
      </c>
      <c r="C71">
        <v>262</v>
      </c>
      <c r="D71" s="54">
        <v>20</v>
      </c>
    </row>
    <row r="72" spans="1:4">
      <c r="B72">
        <v>208</v>
      </c>
      <c r="C72">
        <v>217</v>
      </c>
      <c r="D72" s="54">
        <v>24</v>
      </c>
    </row>
    <row r="73" spans="1:4">
      <c r="A73" t="s">
        <v>344</v>
      </c>
      <c r="B73">
        <f>AVERAGE(B2:B72)</f>
        <v>183.2394366197183</v>
      </c>
      <c r="C73">
        <f>AVERAGE(C2:C72)</f>
        <v>272.53521126760563</v>
      </c>
      <c r="D73" s="51">
        <f>AVERAGE(D2:D72)</f>
        <v>19.169014084507044</v>
      </c>
    </row>
    <row r="74" spans="1:4">
      <c r="A74" t="s">
        <v>345</v>
      </c>
      <c r="B74">
        <f>STDEV(B2:B73)</f>
        <v>24.140705375374381</v>
      </c>
      <c r="C74">
        <f>STDEV(C2:C73)</f>
        <v>77.541961559017608</v>
      </c>
      <c r="D74">
        <f>STDEV(D2:D73)</f>
        <v>5.7726551010167357</v>
      </c>
    </row>
    <row r="75" spans="1:4">
      <c r="A75" t="s">
        <v>346</v>
      </c>
      <c r="B75">
        <f>MAX(B2:B74)</f>
        <v>241</v>
      </c>
      <c r="C75">
        <f>MAX(C2:C74)</f>
        <v>473</v>
      </c>
      <c r="D75" s="51">
        <f>MAX(D2:D74)</f>
        <v>39</v>
      </c>
    </row>
    <row r="76" spans="1:4">
      <c r="A76" t="s">
        <v>347</v>
      </c>
      <c r="B76">
        <f>MIN(B2:B72)</f>
        <v>124</v>
      </c>
      <c r="C76">
        <f>MIN(C2:C72)</f>
        <v>36</v>
      </c>
      <c r="D76" s="51">
        <f>MIN(D2:D72)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9717-12B8-4B9C-ADE2-B074CCEF6599}">
  <dimension ref="A1:I84"/>
  <sheetViews>
    <sheetView topLeftCell="A63" workbookViewId="0">
      <selection activeCell="B55" sqref="B55"/>
    </sheetView>
  </sheetViews>
  <sheetFormatPr defaultRowHeight="14.4"/>
  <sheetData>
    <row r="1" spans="1:9">
      <c r="A1" s="97">
        <v>186</v>
      </c>
      <c r="B1" s="97">
        <v>210</v>
      </c>
      <c r="C1" s="102">
        <v>20</v>
      </c>
      <c r="G1" s="97"/>
      <c r="H1" s="97"/>
      <c r="I1" s="97"/>
    </row>
    <row r="2" spans="1:9">
      <c r="A2">
        <v>161</v>
      </c>
      <c r="B2">
        <v>260</v>
      </c>
      <c r="C2" s="54">
        <v>17</v>
      </c>
    </row>
    <row r="3" spans="1:9">
      <c r="A3">
        <v>238</v>
      </c>
      <c r="B3" s="14">
        <v>148</v>
      </c>
      <c r="C3" s="54">
        <v>18</v>
      </c>
    </row>
    <row r="4" spans="1:9">
      <c r="A4">
        <v>185</v>
      </c>
      <c r="B4">
        <v>348</v>
      </c>
      <c r="C4" s="54">
        <v>17</v>
      </c>
    </row>
    <row r="5" spans="1:9">
      <c r="A5">
        <v>187</v>
      </c>
      <c r="B5">
        <v>217</v>
      </c>
      <c r="C5" s="54">
        <v>27</v>
      </c>
    </row>
    <row r="6" spans="1:9">
      <c r="A6">
        <v>194</v>
      </c>
      <c r="B6">
        <v>226</v>
      </c>
      <c r="C6" s="54">
        <v>16</v>
      </c>
    </row>
    <row r="7" spans="1:9">
      <c r="A7">
        <v>215</v>
      </c>
      <c r="B7">
        <v>274</v>
      </c>
      <c r="C7" s="54">
        <v>14</v>
      </c>
    </row>
    <row r="8" spans="1:9">
      <c r="A8">
        <v>163</v>
      </c>
      <c r="B8">
        <v>248</v>
      </c>
      <c r="C8" s="54">
        <v>12</v>
      </c>
    </row>
    <row r="9" spans="1:9">
      <c r="A9" s="97">
        <v>220</v>
      </c>
      <c r="B9" s="97">
        <v>263</v>
      </c>
      <c r="C9" s="97">
        <v>21</v>
      </c>
    </row>
    <row r="10" spans="1:9">
      <c r="A10">
        <v>165</v>
      </c>
      <c r="B10">
        <v>249</v>
      </c>
      <c r="C10" s="54">
        <v>20</v>
      </c>
    </row>
    <row r="11" spans="1:9">
      <c r="A11">
        <v>171</v>
      </c>
      <c r="B11">
        <v>161</v>
      </c>
      <c r="C11" s="54">
        <v>16</v>
      </c>
    </row>
    <row r="12" spans="1:9">
      <c r="A12" s="14">
        <v>127</v>
      </c>
      <c r="B12">
        <v>499</v>
      </c>
      <c r="C12" s="54">
        <v>13</v>
      </c>
    </row>
    <row r="13" spans="1:9">
      <c r="A13">
        <v>170</v>
      </c>
      <c r="B13">
        <v>225</v>
      </c>
      <c r="C13" s="54">
        <v>18</v>
      </c>
    </row>
    <row r="14" spans="1:9">
      <c r="A14">
        <v>187</v>
      </c>
      <c r="B14">
        <v>303</v>
      </c>
      <c r="C14" s="54">
        <v>17</v>
      </c>
    </row>
    <row r="15" spans="1:9">
      <c r="A15" s="14">
        <v>138</v>
      </c>
      <c r="B15">
        <v>255</v>
      </c>
      <c r="C15" s="54">
        <v>12</v>
      </c>
    </row>
    <row r="16" spans="1:9">
      <c r="A16" s="14">
        <v>138</v>
      </c>
      <c r="B16">
        <v>255</v>
      </c>
      <c r="C16" s="54">
        <v>12</v>
      </c>
    </row>
    <row r="17" spans="1:3">
      <c r="A17">
        <v>216</v>
      </c>
      <c r="B17">
        <v>195</v>
      </c>
      <c r="C17" s="54">
        <v>11</v>
      </c>
    </row>
    <row r="18" spans="1:3">
      <c r="A18">
        <v>210</v>
      </c>
      <c r="B18">
        <v>195</v>
      </c>
      <c r="C18" s="54">
        <v>23</v>
      </c>
    </row>
    <row r="19" spans="1:3">
      <c r="A19">
        <v>204</v>
      </c>
      <c r="B19">
        <v>270</v>
      </c>
      <c r="C19" s="54">
        <v>22</v>
      </c>
    </row>
    <row r="20" spans="1:3">
      <c r="A20">
        <v>185</v>
      </c>
      <c r="B20" s="14">
        <v>89</v>
      </c>
      <c r="C20" s="54">
        <v>12</v>
      </c>
    </row>
    <row r="21" spans="1:3">
      <c r="A21">
        <v>228</v>
      </c>
      <c r="B21">
        <v>276</v>
      </c>
      <c r="C21" s="54">
        <v>22</v>
      </c>
    </row>
    <row r="22" spans="1:3">
      <c r="A22">
        <v>188</v>
      </c>
      <c r="B22">
        <v>234</v>
      </c>
      <c r="C22" s="54">
        <v>24</v>
      </c>
    </row>
    <row r="23" spans="1:3">
      <c r="A23">
        <v>210</v>
      </c>
      <c r="B23">
        <v>192</v>
      </c>
      <c r="C23" s="54">
        <v>13</v>
      </c>
    </row>
    <row r="24" spans="1:3">
      <c r="A24">
        <v>185</v>
      </c>
      <c r="B24">
        <v>197</v>
      </c>
      <c r="C24" s="54">
        <v>33</v>
      </c>
    </row>
    <row r="25" spans="1:3">
      <c r="A25">
        <v>207</v>
      </c>
      <c r="B25">
        <v>247</v>
      </c>
      <c r="C25" s="54">
        <v>24</v>
      </c>
    </row>
    <row r="26" spans="1:3">
      <c r="A26">
        <v>168</v>
      </c>
      <c r="B26">
        <v>281</v>
      </c>
      <c r="C26" s="54">
        <v>20</v>
      </c>
    </row>
    <row r="27" spans="1:3">
      <c r="A27">
        <v>212</v>
      </c>
      <c r="B27">
        <v>382</v>
      </c>
      <c r="C27" s="54">
        <v>12</v>
      </c>
    </row>
    <row r="28" spans="1:3">
      <c r="A28" s="14">
        <v>144</v>
      </c>
      <c r="B28">
        <v>289</v>
      </c>
      <c r="C28" s="54">
        <v>20</v>
      </c>
    </row>
    <row r="29" spans="1:3">
      <c r="A29">
        <v>194</v>
      </c>
      <c r="B29">
        <v>231</v>
      </c>
      <c r="C29" s="54">
        <v>15.6</v>
      </c>
    </row>
    <row r="30" spans="1:3">
      <c r="A30">
        <v>174</v>
      </c>
      <c r="B30">
        <v>447</v>
      </c>
      <c r="C30" s="54">
        <v>11.5</v>
      </c>
    </row>
    <row r="31" spans="1:3">
      <c r="A31" s="14">
        <v>146</v>
      </c>
      <c r="B31">
        <v>274</v>
      </c>
      <c r="C31" s="54">
        <v>19.3</v>
      </c>
    </row>
    <row r="32" spans="1:3">
      <c r="A32">
        <v>164</v>
      </c>
      <c r="B32">
        <v>359</v>
      </c>
      <c r="C32" s="54">
        <v>10.1</v>
      </c>
    </row>
    <row r="33" spans="1:3">
      <c r="A33">
        <v>177</v>
      </c>
      <c r="B33">
        <v>278</v>
      </c>
      <c r="C33" s="54">
        <v>15.6</v>
      </c>
    </row>
    <row r="34" spans="1:3">
      <c r="A34">
        <v>168</v>
      </c>
      <c r="B34">
        <v>362</v>
      </c>
      <c r="C34" s="54">
        <v>17.600000000000001</v>
      </c>
    </row>
    <row r="35" spans="1:3">
      <c r="A35">
        <v>221</v>
      </c>
      <c r="B35">
        <v>249</v>
      </c>
      <c r="C35" s="54">
        <v>23.8</v>
      </c>
    </row>
    <row r="36" spans="1:3">
      <c r="A36">
        <v>185</v>
      </c>
      <c r="B36">
        <v>299</v>
      </c>
      <c r="C36" s="54">
        <v>27.7</v>
      </c>
    </row>
    <row r="37" spans="1:3">
      <c r="A37">
        <v>158</v>
      </c>
      <c r="B37">
        <v>219</v>
      </c>
      <c r="C37" s="54">
        <v>16.3</v>
      </c>
    </row>
    <row r="38" spans="1:3">
      <c r="A38">
        <v>195</v>
      </c>
      <c r="B38">
        <v>223</v>
      </c>
      <c r="C38" s="54">
        <v>16.5</v>
      </c>
    </row>
    <row r="39" spans="1:3">
      <c r="A39">
        <v>205</v>
      </c>
      <c r="B39">
        <v>258</v>
      </c>
      <c r="C39" s="54">
        <v>24</v>
      </c>
    </row>
    <row r="40" spans="1:3">
      <c r="A40">
        <v>164</v>
      </c>
      <c r="B40">
        <v>259</v>
      </c>
      <c r="C40" s="103">
        <v>24</v>
      </c>
    </row>
    <row r="41" spans="1:3">
      <c r="A41">
        <v>161</v>
      </c>
      <c r="B41">
        <v>292</v>
      </c>
      <c r="C41" s="104">
        <v>22.1</v>
      </c>
    </row>
    <row r="42" spans="1:3">
      <c r="A42">
        <v>193</v>
      </c>
      <c r="B42">
        <v>313</v>
      </c>
      <c r="C42" s="104">
        <v>13.4</v>
      </c>
    </row>
    <row r="43" spans="1:3">
      <c r="A43">
        <v>156</v>
      </c>
      <c r="B43">
        <v>149</v>
      </c>
      <c r="C43" s="104">
        <v>17</v>
      </c>
    </row>
    <row r="44" spans="1:3">
      <c r="A44">
        <v>203</v>
      </c>
      <c r="B44">
        <v>265</v>
      </c>
      <c r="C44" s="104">
        <v>18</v>
      </c>
    </row>
    <row r="45" spans="1:3">
      <c r="A45">
        <v>192</v>
      </c>
      <c r="B45">
        <v>242</v>
      </c>
      <c r="C45" s="104">
        <v>12.7</v>
      </c>
    </row>
    <row r="46" spans="1:3">
      <c r="A46">
        <v>163</v>
      </c>
      <c r="B46">
        <v>160</v>
      </c>
      <c r="C46" s="104">
        <v>14.1</v>
      </c>
    </row>
    <row r="47" spans="1:3">
      <c r="A47">
        <v>200</v>
      </c>
      <c r="B47">
        <v>177</v>
      </c>
      <c r="C47" s="104">
        <v>39.6</v>
      </c>
    </row>
    <row r="48" spans="1:3">
      <c r="A48">
        <v>217</v>
      </c>
      <c r="B48">
        <v>372</v>
      </c>
      <c r="C48" s="104">
        <v>17.899999999999999</v>
      </c>
    </row>
    <row r="49" spans="1:3">
      <c r="A49">
        <v>174</v>
      </c>
      <c r="B49">
        <v>227</v>
      </c>
      <c r="C49" s="104">
        <v>15.7</v>
      </c>
    </row>
    <row r="50" spans="1:3">
      <c r="A50">
        <v>194</v>
      </c>
      <c r="B50">
        <v>275</v>
      </c>
      <c r="C50" s="104">
        <v>17.399999999999999</v>
      </c>
    </row>
    <row r="51" spans="1:3">
      <c r="A51">
        <v>154</v>
      </c>
      <c r="B51">
        <v>268</v>
      </c>
      <c r="C51" s="104">
        <v>18.399999999999999</v>
      </c>
    </row>
    <row r="52" spans="1:3">
      <c r="A52">
        <v>180</v>
      </c>
      <c r="B52">
        <v>297</v>
      </c>
      <c r="C52" s="104">
        <v>14.7</v>
      </c>
    </row>
    <row r="53" spans="1:3">
      <c r="A53">
        <v>201</v>
      </c>
      <c r="B53">
        <v>221</v>
      </c>
      <c r="C53" s="104">
        <v>27.7</v>
      </c>
    </row>
    <row r="54" spans="1:3">
      <c r="A54">
        <v>196</v>
      </c>
      <c r="B54">
        <v>288</v>
      </c>
      <c r="C54" s="104">
        <v>24</v>
      </c>
    </row>
    <row r="55" spans="1:3">
      <c r="A55">
        <v>219</v>
      </c>
      <c r="B55">
        <v>336</v>
      </c>
      <c r="C55" s="104">
        <v>30.5</v>
      </c>
    </row>
    <row r="56" spans="1:3">
      <c r="A56">
        <v>188</v>
      </c>
      <c r="B56">
        <v>162</v>
      </c>
      <c r="C56" s="104">
        <v>22.8</v>
      </c>
    </row>
    <row r="57" spans="1:3">
      <c r="A57">
        <v>205</v>
      </c>
      <c r="B57">
        <v>210</v>
      </c>
      <c r="C57" s="104">
        <v>12.7</v>
      </c>
    </row>
    <row r="58" spans="1:3">
      <c r="A58">
        <v>179</v>
      </c>
      <c r="B58">
        <v>212</v>
      </c>
      <c r="C58" s="104">
        <v>21.6</v>
      </c>
    </row>
    <row r="59" spans="1:3">
      <c r="A59">
        <v>214</v>
      </c>
      <c r="B59">
        <v>297</v>
      </c>
      <c r="C59" s="104">
        <v>30.3</v>
      </c>
    </row>
    <row r="60" spans="1:3">
      <c r="A60">
        <v>177</v>
      </c>
      <c r="B60">
        <v>287</v>
      </c>
      <c r="C60" s="104">
        <v>22.2</v>
      </c>
    </row>
    <row r="61" spans="1:3">
      <c r="A61">
        <v>183</v>
      </c>
      <c r="B61">
        <v>307</v>
      </c>
      <c r="C61" s="104">
        <v>6.7</v>
      </c>
    </row>
    <row r="62" spans="1:3">
      <c r="A62">
        <v>176</v>
      </c>
      <c r="B62">
        <v>318</v>
      </c>
      <c r="C62" s="104">
        <v>34.6</v>
      </c>
    </row>
    <row r="63" spans="1:3">
      <c r="A63">
        <v>217</v>
      </c>
      <c r="B63">
        <v>215</v>
      </c>
      <c r="C63" s="104">
        <v>26.5</v>
      </c>
    </row>
    <row r="64" spans="1:3">
      <c r="A64">
        <v>188</v>
      </c>
      <c r="B64">
        <v>187</v>
      </c>
      <c r="C64" s="104">
        <v>14.6</v>
      </c>
    </row>
    <row r="65" spans="1:9">
      <c r="A65">
        <v>169</v>
      </c>
      <c r="B65">
        <v>279</v>
      </c>
      <c r="C65" s="104">
        <v>14.8</v>
      </c>
    </row>
    <row r="66" spans="1:9">
      <c r="A66">
        <v>181</v>
      </c>
      <c r="B66">
        <v>283</v>
      </c>
      <c r="C66" s="104">
        <v>22.7</v>
      </c>
    </row>
    <row r="67" spans="1:9">
      <c r="A67">
        <v>170</v>
      </c>
      <c r="B67">
        <v>314</v>
      </c>
      <c r="C67" s="104">
        <v>26</v>
      </c>
    </row>
    <row r="68" spans="1:9">
      <c r="A68">
        <v>181</v>
      </c>
      <c r="B68">
        <v>184</v>
      </c>
      <c r="C68" s="104">
        <v>19.399999999999999</v>
      </c>
    </row>
    <row r="69" spans="1:9">
      <c r="A69">
        <v>202</v>
      </c>
      <c r="B69">
        <v>166</v>
      </c>
      <c r="C69" s="104">
        <v>16.100000000000001</v>
      </c>
    </row>
    <row r="70" spans="1:9">
      <c r="A70" s="13">
        <v>225</v>
      </c>
      <c r="B70" s="13">
        <v>218</v>
      </c>
      <c r="C70" s="105">
        <v>20.2</v>
      </c>
      <c r="D70" s="13"/>
      <c r="E70" s="13"/>
      <c r="F70" s="13"/>
      <c r="G70" s="13"/>
      <c r="H70" s="13"/>
      <c r="I70" s="13"/>
    </row>
    <row r="71" spans="1:9">
      <c r="A71" s="14">
        <v>145</v>
      </c>
      <c r="B71" s="13">
        <v>237</v>
      </c>
      <c r="C71" s="105">
        <v>13.5</v>
      </c>
      <c r="D71" s="13">
        <v>171</v>
      </c>
      <c r="E71" s="13">
        <v>294</v>
      </c>
      <c r="F71" s="13">
        <v>13.9</v>
      </c>
      <c r="G71" s="13"/>
      <c r="H71" s="13"/>
      <c r="I71" s="13"/>
    </row>
    <row r="72" spans="1:9">
      <c r="A72">
        <v>156</v>
      </c>
      <c r="B72">
        <v>305</v>
      </c>
      <c r="C72" s="104">
        <v>19.7</v>
      </c>
    </row>
    <row r="73" spans="1:9">
      <c r="A73">
        <v>187</v>
      </c>
      <c r="B73">
        <v>196</v>
      </c>
      <c r="C73" s="104">
        <v>20.7</v>
      </c>
    </row>
    <row r="74" spans="1:9">
      <c r="A74" s="14">
        <v>140</v>
      </c>
      <c r="B74" s="13">
        <v>263</v>
      </c>
      <c r="C74" s="105">
        <v>7.9</v>
      </c>
      <c r="D74" s="13"/>
      <c r="E74" s="13"/>
      <c r="F74" s="13"/>
      <c r="G74" s="13"/>
      <c r="H74" s="13"/>
      <c r="I74" s="13"/>
    </row>
    <row r="75" spans="1:9">
      <c r="A75">
        <v>222</v>
      </c>
      <c r="B75">
        <v>211</v>
      </c>
      <c r="C75" s="104">
        <v>22</v>
      </c>
    </row>
    <row r="76" spans="1:9">
      <c r="A76">
        <v>229</v>
      </c>
      <c r="B76">
        <v>327</v>
      </c>
      <c r="C76" s="104">
        <v>33.1</v>
      </c>
    </row>
    <row r="77" spans="1:9">
      <c r="A77">
        <v>181</v>
      </c>
      <c r="B77">
        <v>354</v>
      </c>
      <c r="C77" s="104">
        <v>22</v>
      </c>
    </row>
    <row r="78" spans="1:9">
      <c r="A78">
        <v>180</v>
      </c>
      <c r="B78">
        <v>263</v>
      </c>
      <c r="C78" s="104">
        <v>19.399999999999999</v>
      </c>
    </row>
    <row r="79" spans="1:9">
      <c r="A79">
        <v>182</v>
      </c>
      <c r="B79">
        <v>185</v>
      </c>
      <c r="C79" s="104">
        <v>26.5</v>
      </c>
    </row>
    <row r="80" spans="1:9">
      <c r="A80">
        <v>221</v>
      </c>
      <c r="B80">
        <v>222</v>
      </c>
      <c r="C80" s="104">
        <v>16.600000000000001</v>
      </c>
    </row>
    <row r="81" spans="1:3">
      <c r="A81">
        <f>AVERAGE(A1:A80)</f>
        <v>185.67500000000001</v>
      </c>
      <c r="B81">
        <f>AVERAGE(B1:B80)</f>
        <v>256.625</v>
      </c>
      <c r="C81" s="51">
        <f>AVERAGE(C1:C80)</f>
        <v>19.297500000000003</v>
      </c>
    </row>
    <row r="82" spans="1:3">
      <c r="A82">
        <f>STDEV(A1:A81)</f>
        <v>24.506516990384487</v>
      </c>
      <c r="B82">
        <f>STDEV(B1:B81)</f>
        <v>66.719819956291843</v>
      </c>
      <c r="C82">
        <f>STDEV(C1:C81)</f>
        <v>6.2264953023350236</v>
      </c>
    </row>
    <row r="83" spans="1:3">
      <c r="A83">
        <f>MAX(A1:A82)</f>
        <v>238</v>
      </c>
      <c r="B83">
        <f>MAX(B1:B82)</f>
        <v>499</v>
      </c>
      <c r="C83" s="51">
        <f>MAX(C1:C82)</f>
        <v>39.6</v>
      </c>
    </row>
    <row r="84" spans="1:3">
      <c r="A84">
        <f>MIN(A1:A80)</f>
        <v>127</v>
      </c>
      <c r="B84">
        <f>MIN(B1:B80)</f>
        <v>89</v>
      </c>
      <c r="C84" s="51">
        <f>MIN(C1:C80)</f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23BF-87AE-4FBD-BD6E-ED2941B7FB4B}">
  <dimension ref="A1:G228"/>
  <sheetViews>
    <sheetView topLeftCell="A59" workbookViewId="0">
      <selection activeCell="A59" sqref="A1:A1048576"/>
    </sheetView>
  </sheetViews>
  <sheetFormatPr defaultRowHeight="14.4"/>
  <sheetData>
    <row r="1" spans="1:7">
      <c r="A1" s="19">
        <v>1</v>
      </c>
      <c r="B1" s="19">
        <v>2880</v>
      </c>
      <c r="E1" t="s">
        <v>337</v>
      </c>
      <c r="F1" t="s">
        <v>338</v>
      </c>
      <c r="G1" t="s">
        <v>339</v>
      </c>
    </row>
    <row r="2" spans="1:7">
      <c r="A2" s="56">
        <v>1</v>
      </c>
      <c r="B2" s="56">
        <v>3000</v>
      </c>
      <c r="E2" s="19">
        <v>2880</v>
      </c>
      <c r="F2" s="12">
        <v>2270</v>
      </c>
      <c r="G2" s="101">
        <v>2860</v>
      </c>
    </row>
    <row r="3" spans="1:7">
      <c r="A3" s="60">
        <v>1</v>
      </c>
      <c r="B3" s="56">
        <v>940</v>
      </c>
      <c r="E3" s="56">
        <v>3000</v>
      </c>
      <c r="F3" s="12">
        <v>3970</v>
      </c>
      <c r="G3" s="19">
        <v>3400</v>
      </c>
    </row>
    <row r="4" spans="1:7">
      <c r="A4" s="18">
        <v>1</v>
      </c>
      <c r="B4" s="19">
        <v>3590</v>
      </c>
      <c r="E4" s="56">
        <v>940</v>
      </c>
      <c r="F4" s="12">
        <v>3450</v>
      </c>
      <c r="G4" s="19">
        <v>2850</v>
      </c>
    </row>
    <row r="5" spans="1:7">
      <c r="A5" s="18">
        <v>1</v>
      </c>
      <c r="B5" s="19">
        <v>2610</v>
      </c>
      <c r="E5" s="19">
        <v>3590</v>
      </c>
      <c r="F5" s="18">
        <v>3460</v>
      </c>
      <c r="G5" s="19">
        <v>3800</v>
      </c>
    </row>
    <row r="6" spans="1:7">
      <c r="A6" s="56">
        <v>1</v>
      </c>
      <c r="B6" s="56">
        <v>1100</v>
      </c>
      <c r="E6" s="19">
        <v>2610</v>
      </c>
      <c r="F6" s="25">
        <v>3060</v>
      </c>
      <c r="G6" s="19">
        <v>4062</v>
      </c>
    </row>
    <row r="7" spans="1:7">
      <c r="A7" s="19">
        <v>1</v>
      </c>
      <c r="B7" s="19">
        <v>1960</v>
      </c>
      <c r="E7" s="56">
        <v>1100</v>
      </c>
      <c r="F7" s="18">
        <v>4250</v>
      </c>
      <c r="G7" s="19">
        <v>2570</v>
      </c>
    </row>
    <row r="8" spans="1:7">
      <c r="A8" s="56">
        <v>1</v>
      </c>
      <c r="B8" s="56">
        <v>790</v>
      </c>
      <c r="E8" s="19">
        <v>1960</v>
      </c>
      <c r="F8" s="12">
        <v>3810</v>
      </c>
      <c r="G8" s="19">
        <v>2380</v>
      </c>
    </row>
    <row r="9" spans="1:7">
      <c r="A9" s="19">
        <v>1</v>
      </c>
      <c r="B9" s="19"/>
      <c r="E9" s="56">
        <v>790</v>
      </c>
      <c r="F9" s="12">
        <v>3470</v>
      </c>
      <c r="G9" s="19">
        <v>3950</v>
      </c>
    </row>
    <row r="10" spans="1:7">
      <c r="A10" s="19">
        <v>1</v>
      </c>
      <c r="B10" s="19">
        <v>2280</v>
      </c>
      <c r="E10" s="19">
        <v>2280</v>
      </c>
      <c r="F10" s="12">
        <v>3670</v>
      </c>
      <c r="G10" s="19">
        <v>3800</v>
      </c>
    </row>
    <row r="11" spans="1:7">
      <c r="A11" s="19">
        <v>1</v>
      </c>
      <c r="B11" s="19">
        <v>2800</v>
      </c>
      <c r="E11" s="19">
        <v>2800</v>
      </c>
      <c r="F11" s="12">
        <v>3310</v>
      </c>
      <c r="G11" s="19">
        <v>3550</v>
      </c>
    </row>
    <row r="12" spans="1:7">
      <c r="A12" s="60">
        <v>1</v>
      </c>
      <c r="B12" s="56">
        <v>2280</v>
      </c>
      <c r="E12" s="56">
        <v>2280</v>
      </c>
      <c r="F12" s="26">
        <v>1200</v>
      </c>
      <c r="G12" s="19">
        <v>3450</v>
      </c>
    </row>
    <row r="13" spans="1:7">
      <c r="A13" s="56">
        <v>1</v>
      </c>
      <c r="B13" s="56">
        <v>2910</v>
      </c>
      <c r="E13" s="56">
        <v>2910</v>
      </c>
      <c r="F13" s="24">
        <v>2570</v>
      </c>
      <c r="G13" s="19">
        <v>3070</v>
      </c>
    </row>
    <row r="14" spans="1:7">
      <c r="A14" s="19">
        <v>1</v>
      </c>
      <c r="B14" s="19">
        <v>3270</v>
      </c>
      <c r="E14" s="19">
        <v>3270</v>
      </c>
      <c r="F14" s="24">
        <v>3510</v>
      </c>
      <c r="G14" s="19">
        <v>2330</v>
      </c>
    </row>
    <row r="15" spans="1:7">
      <c r="A15" s="19">
        <v>1</v>
      </c>
      <c r="B15" s="19">
        <v>3130</v>
      </c>
      <c r="E15" s="19">
        <v>3130</v>
      </c>
      <c r="F15" s="24">
        <v>3650</v>
      </c>
      <c r="G15" s="19">
        <v>3080</v>
      </c>
    </row>
    <row r="16" spans="1:7">
      <c r="A16" s="19">
        <v>1</v>
      </c>
      <c r="B16" s="19">
        <v>3070</v>
      </c>
      <c r="E16" s="19">
        <v>3070</v>
      </c>
      <c r="F16" s="24">
        <v>2550</v>
      </c>
      <c r="G16" s="19">
        <v>3580</v>
      </c>
    </row>
    <row r="17" spans="1:7">
      <c r="A17" s="19">
        <v>1</v>
      </c>
      <c r="B17" s="19">
        <v>3330</v>
      </c>
      <c r="E17" s="19">
        <v>3330</v>
      </c>
      <c r="F17" s="24">
        <v>4480</v>
      </c>
      <c r="G17" s="19">
        <v>3580</v>
      </c>
    </row>
    <row r="18" spans="1:7">
      <c r="A18" s="19">
        <v>1</v>
      </c>
      <c r="B18" s="19"/>
      <c r="E18" s="19">
        <v>3610</v>
      </c>
      <c r="F18" s="24">
        <v>3240</v>
      </c>
      <c r="G18" s="19">
        <v>2470</v>
      </c>
    </row>
    <row r="19" spans="1:7">
      <c r="A19" s="19">
        <v>1</v>
      </c>
      <c r="B19" s="19">
        <v>3610</v>
      </c>
      <c r="E19" s="56">
        <v>2660</v>
      </c>
      <c r="F19" s="27">
        <v>1240</v>
      </c>
      <c r="G19" s="19">
        <v>2870</v>
      </c>
    </row>
    <row r="20" spans="1:7">
      <c r="A20" s="56">
        <v>1</v>
      </c>
      <c r="B20" s="56">
        <v>2660</v>
      </c>
      <c r="E20" s="19">
        <v>3030</v>
      </c>
      <c r="F20" s="28">
        <v>1780</v>
      </c>
      <c r="G20" s="19">
        <v>3870</v>
      </c>
    </row>
    <row r="21" spans="1:7">
      <c r="A21" s="19">
        <v>1</v>
      </c>
      <c r="B21" s="19">
        <v>3030</v>
      </c>
      <c r="E21" s="19">
        <v>2810</v>
      </c>
      <c r="F21" s="24">
        <v>3240</v>
      </c>
      <c r="G21" s="19">
        <v>2470</v>
      </c>
    </row>
    <row r="22" spans="1:7">
      <c r="A22" s="19">
        <v>1</v>
      </c>
      <c r="B22" s="19">
        <v>2810</v>
      </c>
      <c r="E22" s="19">
        <v>2580</v>
      </c>
      <c r="F22" s="24">
        <v>2580</v>
      </c>
      <c r="G22" s="19">
        <v>3390</v>
      </c>
    </row>
    <row r="23" spans="1:7">
      <c r="A23" s="19">
        <v>1</v>
      </c>
      <c r="B23" s="19">
        <v>2580</v>
      </c>
      <c r="E23" s="19">
        <v>2680</v>
      </c>
      <c r="F23" s="24">
        <v>3130</v>
      </c>
      <c r="G23" s="19">
        <v>3920</v>
      </c>
    </row>
    <row r="24" spans="1:7">
      <c r="A24" s="19">
        <v>1</v>
      </c>
      <c r="B24" s="19">
        <v>2680</v>
      </c>
      <c r="E24" s="56">
        <v>2230</v>
      </c>
      <c r="F24" s="24">
        <v>3530</v>
      </c>
      <c r="G24" s="19">
        <v>3160</v>
      </c>
    </row>
    <row r="25" spans="1:7">
      <c r="A25" s="56">
        <v>1</v>
      </c>
      <c r="B25" s="56">
        <v>2230</v>
      </c>
      <c r="E25" s="19">
        <v>2800</v>
      </c>
      <c r="F25" s="24">
        <v>2890</v>
      </c>
      <c r="G25" s="19">
        <v>4230</v>
      </c>
    </row>
    <row r="26" spans="1:7">
      <c r="A26" s="19">
        <v>1</v>
      </c>
      <c r="B26" s="19">
        <v>2800</v>
      </c>
      <c r="E26" s="19">
        <v>2890</v>
      </c>
      <c r="F26" s="25">
        <v>4150</v>
      </c>
      <c r="G26" s="19">
        <v>3100</v>
      </c>
    </row>
    <row r="27" spans="1:7">
      <c r="A27" s="19">
        <v>1</v>
      </c>
      <c r="B27" s="19">
        <v>2890</v>
      </c>
      <c r="E27" s="19">
        <v>3670</v>
      </c>
      <c r="F27" s="24">
        <v>3120</v>
      </c>
      <c r="G27" s="19">
        <v>3370</v>
      </c>
    </row>
    <row r="28" spans="1:7">
      <c r="A28" s="19">
        <v>1</v>
      </c>
      <c r="B28" s="19">
        <v>3670</v>
      </c>
      <c r="E28" s="19">
        <v>3140</v>
      </c>
      <c r="F28" s="29">
        <v>3210</v>
      </c>
      <c r="G28" s="19">
        <v>3750</v>
      </c>
    </row>
    <row r="29" spans="1:7">
      <c r="A29" s="5">
        <v>1</v>
      </c>
      <c r="B29" s="19">
        <v>3140</v>
      </c>
      <c r="E29" s="19">
        <v>4390</v>
      </c>
      <c r="F29" s="12">
        <v>4170</v>
      </c>
      <c r="G29" s="19">
        <v>4330</v>
      </c>
    </row>
    <row r="30" spans="1:7">
      <c r="A30" s="18">
        <v>1</v>
      </c>
      <c r="B30" s="19">
        <v>4390</v>
      </c>
      <c r="E30" s="19">
        <v>3120</v>
      </c>
      <c r="F30" s="23">
        <v>750</v>
      </c>
      <c r="G30" s="19">
        <v>3200</v>
      </c>
    </row>
    <row r="31" spans="1:7">
      <c r="A31" s="19">
        <v>1</v>
      </c>
      <c r="B31" s="19">
        <v>3120</v>
      </c>
      <c r="E31" s="56">
        <v>2798</v>
      </c>
      <c r="F31" s="23">
        <v>1900</v>
      </c>
      <c r="G31" s="19">
        <v>2780</v>
      </c>
    </row>
    <row r="32" spans="1:7">
      <c r="A32" s="56">
        <v>1</v>
      </c>
      <c r="B32" s="56">
        <v>2798</v>
      </c>
      <c r="E32" s="19">
        <v>3040</v>
      </c>
      <c r="F32" s="12">
        <v>3840</v>
      </c>
      <c r="G32" s="19">
        <v>2715</v>
      </c>
    </row>
    <row r="33" spans="1:7">
      <c r="A33" s="19">
        <v>1</v>
      </c>
      <c r="B33" s="19">
        <v>3040</v>
      </c>
      <c r="E33" s="56">
        <v>1420</v>
      </c>
      <c r="F33" s="19">
        <v>3770</v>
      </c>
      <c r="G33" s="19">
        <v>3010</v>
      </c>
    </row>
    <row r="34" spans="1:7">
      <c r="A34" s="64">
        <v>1</v>
      </c>
      <c r="B34" s="56">
        <v>1420</v>
      </c>
      <c r="E34" s="19">
        <v>2990</v>
      </c>
      <c r="F34" s="19">
        <v>3480</v>
      </c>
      <c r="G34" s="19">
        <v>3580</v>
      </c>
    </row>
    <row r="35" spans="1:7">
      <c r="A35" s="7">
        <v>1</v>
      </c>
      <c r="B35" s="19">
        <v>2990</v>
      </c>
      <c r="E35" s="56">
        <v>2350</v>
      </c>
      <c r="F35" s="19">
        <v>2740</v>
      </c>
      <c r="G35" s="19">
        <v>2960</v>
      </c>
    </row>
    <row r="36" spans="1:7">
      <c r="A36" s="60">
        <v>1</v>
      </c>
      <c r="B36" s="56">
        <v>2350</v>
      </c>
      <c r="E36" s="19">
        <v>2720</v>
      </c>
      <c r="F36" s="19">
        <v>3420</v>
      </c>
      <c r="G36" s="19">
        <v>3240</v>
      </c>
    </row>
    <row r="37" spans="1:7">
      <c r="A37" s="18">
        <v>1</v>
      </c>
      <c r="B37" s="19">
        <v>2720</v>
      </c>
      <c r="E37" s="19">
        <v>3050</v>
      </c>
      <c r="F37" s="19">
        <v>3240</v>
      </c>
      <c r="G37" s="19">
        <v>3650</v>
      </c>
    </row>
    <row r="38" spans="1:7">
      <c r="A38" s="18">
        <v>1</v>
      </c>
      <c r="B38" s="19">
        <v>3050</v>
      </c>
      <c r="E38" s="19">
        <v>3510</v>
      </c>
      <c r="F38" s="19">
        <v>3730</v>
      </c>
      <c r="G38" s="19">
        <v>3410</v>
      </c>
    </row>
    <row r="39" spans="1:7">
      <c r="A39" s="18">
        <v>1</v>
      </c>
      <c r="B39" s="19">
        <v>3510</v>
      </c>
      <c r="E39" s="19">
        <v>3250</v>
      </c>
      <c r="F39" s="19">
        <v>3980</v>
      </c>
      <c r="G39" s="19">
        <v>3540</v>
      </c>
    </row>
    <row r="40" spans="1:7">
      <c r="A40" s="18">
        <v>1</v>
      </c>
      <c r="B40" s="19">
        <v>3250</v>
      </c>
      <c r="E40" s="56">
        <v>2600</v>
      </c>
      <c r="F40" s="19">
        <v>3300</v>
      </c>
      <c r="G40" s="19">
        <v>3540</v>
      </c>
    </row>
    <row r="41" spans="1:7">
      <c r="A41" s="60">
        <v>1</v>
      </c>
      <c r="B41" s="56">
        <v>2600</v>
      </c>
      <c r="E41" s="56">
        <v>1640</v>
      </c>
      <c r="F41" s="19">
        <v>3250</v>
      </c>
      <c r="G41" s="19">
        <v>4640</v>
      </c>
    </row>
    <row r="42" spans="1:7">
      <c r="A42" s="60">
        <v>1</v>
      </c>
      <c r="B42" s="56">
        <v>1640</v>
      </c>
      <c r="E42" s="19">
        <v>2850</v>
      </c>
      <c r="F42" s="19">
        <v>3790</v>
      </c>
      <c r="G42" s="19">
        <v>3260</v>
      </c>
    </row>
    <row r="43" spans="1:7">
      <c r="A43" s="18">
        <v>1</v>
      </c>
      <c r="B43" s="19">
        <v>2850</v>
      </c>
      <c r="E43" s="19">
        <v>3290</v>
      </c>
      <c r="F43" s="19">
        <v>3050</v>
      </c>
      <c r="G43" s="19">
        <v>2800</v>
      </c>
    </row>
    <row r="44" spans="1:7">
      <c r="A44" s="18">
        <v>1</v>
      </c>
      <c r="B44" s="19"/>
      <c r="E44" s="19">
        <v>3640</v>
      </c>
      <c r="F44" s="19">
        <v>4470</v>
      </c>
      <c r="G44" s="19">
        <v>4100</v>
      </c>
    </row>
    <row r="45" spans="1:7">
      <c r="A45" s="18">
        <v>1</v>
      </c>
      <c r="B45" s="19">
        <v>3290</v>
      </c>
      <c r="E45" s="56">
        <v>2380</v>
      </c>
      <c r="F45" s="19">
        <v>3530</v>
      </c>
      <c r="G45" s="19">
        <v>3380</v>
      </c>
    </row>
    <row r="46" spans="1:7">
      <c r="A46" s="18">
        <v>1</v>
      </c>
      <c r="B46" s="19">
        <v>3640</v>
      </c>
      <c r="E46" s="56">
        <v>2460</v>
      </c>
      <c r="F46" s="28">
        <v>1650</v>
      </c>
      <c r="G46" s="19">
        <v>3310</v>
      </c>
    </row>
    <row r="47" spans="1:7">
      <c r="A47" s="60">
        <v>1</v>
      </c>
      <c r="B47" s="56">
        <v>2380</v>
      </c>
      <c r="E47" s="56">
        <v>1500</v>
      </c>
      <c r="F47" s="19">
        <v>3410</v>
      </c>
      <c r="G47" s="19">
        <v>3300</v>
      </c>
    </row>
    <row r="48" spans="1:7">
      <c r="A48" s="60">
        <v>1</v>
      </c>
      <c r="B48" s="56">
        <v>2460</v>
      </c>
      <c r="E48" s="19">
        <v>2800</v>
      </c>
      <c r="F48" s="19">
        <v>2910</v>
      </c>
      <c r="G48" s="19">
        <v>3390</v>
      </c>
    </row>
    <row r="49" spans="1:7">
      <c r="A49" s="60">
        <v>1</v>
      </c>
      <c r="B49" s="56">
        <v>1500</v>
      </c>
      <c r="E49" s="19">
        <v>3220</v>
      </c>
      <c r="F49" s="19">
        <v>3910</v>
      </c>
      <c r="G49" s="19">
        <v>3740</v>
      </c>
    </row>
    <row r="50" spans="1:7">
      <c r="A50" s="18">
        <v>1</v>
      </c>
      <c r="B50" s="19">
        <v>2800</v>
      </c>
      <c r="E50" s="56">
        <v>2880</v>
      </c>
      <c r="F50" s="19">
        <v>2870</v>
      </c>
      <c r="G50" s="19">
        <v>4470</v>
      </c>
    </row>
    <row r="51" spans="1:7">
      <c r="A51" s="19">
        <v>1</v>
      </c>
      <c r="B51" s="19">
        <v>3220</v>
      </c>
      <c r="E51" s="56">
        <v>2530</v>
      </c>
      <c r="F51" s="19">
        <v>3750</v>
      </c>
      <c r="G51" s="19">
        <v>3560</v>
      </c>
    </row>
    <row r="52" spans="1:7">
      <c r="A52" s="56">
        <v>1</v>
      </c>
      <c r="B52" s="56">
        <v>2880</v>
      </c>
      <c r="E52" s="19">
        <v>3490</v>
      </c>
      <c r="F52" s="19">
        <v>2980</v>
      </c>
      <c r="G52" s="19">
        <v>4100</v>
      </c>
    </row>
    <row r="53" spans="1:7">
      <c r="A53" s="60">
        <v>1</v>
      </c>
      <c r="B53" s="56">
        <v>2530</v>
      </c>
      <c r="E53" s="56">
        <v>2290</v>
      </c>
      <c r="F53" s="19">
        <v>3520</v>
      </c>
      <c r="G53" s="19">
        <v>4200</v>
      </c>
    </row>
    <row r="54" spans="1:7">
      <c r="A54" s="19">
        <v>1</v>
      </c>
      <c r="B54" s="19">
        <v>3490</v>
      </c>
      <c r="E54" s="56">
        <v>1500</v>
      </c>
      <c r="F54" s="19">
        <v>3550</v>
      </c>
      <c r="G54" s="19">
        <v>3590</v>
      </c>
    </row>
    <row r="55" spans="1:7">
      <c r="A55" s="56">
        <v>1</v>
      </c>
      <c r="B55" s="56">
        <v>2290</v>
      </c>
      <c r="E55" s="19">
        <v>2860</v>
      </c>
      <c r="F55" s="12">
        <v>3410</v>
      </c>
      <c r="G55" s="19">
        <v>3300</v>
      </c>
    </row>
    <row r="56" spans="1:7">
      <c r="A56" s="70">
        <v>1</v>
      </c>
      <c r="B56" s="56">
        <v>1500</v>
      </c>
      <c r="E56" s="19">
        <v>2660</v>
      </c>
      <c r="F56" s="12">
        <v>3770</v>
      </c>
      <c r="G56" s="19">
        <v>4630</v>
      </c>
    </row>
    <row r="57" spans="1:7">
      <c r="A57" s="7">
        <v>1</v>
      </c>
      <c r="B57" s="19">
        <v>2860</v>
      </c>
      <c r="E57" s="56">
        <v>2460</v>
      </c>
      <c r="F57" s="19">
        <v>3430</v>
      </c>
      <c r="G57" s="19">
        <v>3570</v>
      </c>
    </row>
    <row r="58" spans="1:7">
      <c r="A58" s="19">
        <v>2</v>
      </c>
      <c r="B58" s="19"/>
      <c r="E58" s="19">
        <v>3060</v>
      </c>
      <c r="F58" s="12">
        <v>3780</v>
      </c>
      <c r="G58" s="19">
        <v>3370</v>
      </c>
    </row>
    <row r="59" spans="1:7">
      <c r="A59" s="19">
        <v>2</v>
      </c>
      <c r="B59" s="19">
        <v>3200</v>
      </c>
      <c r="E59" s="19">
        <v>2660</v>
      </c>
      <c r="F59" s="24">
        <v>3640</v>
      </c>
      <c r="G59" s="19">
        <v>3790</v>
      </c>
    </row>
    <row r="60" spans="1:7">
      <c r="A60" s="18">
        <v>1</v>
      </c>
      <c r="B60" s="19">
        <v>2660</v>
      </c>
      <c r="E60" s="19">
        <v>2660</v>
      </c>
      <c r="F60" s="12">
        <v>3390</v>
      </c>
      <c r="G60" s="19">
        <v>3640</v>
      </c>
    </row>
    <row r="61" spans="1:7">
      <c r="A61" s="60">
        <v>1</v>
      </c>
      <c r="B61" s="56">
        <v>2460</v>
      </c>
      <c r="E61" s="19">
        <v>3140</v>
      </c>
      <c r="F61" s="18">
        <v>3220</v>
      </c>
      <c r="G61" s="19">
        <v>4030</v>
      </c>
    </row>
    <row r="62" spans="1:7">
      <c r="A62" s="7">
        <v>1</v>
      </c>
      <c r="B62" s="19">
        <v>3060</v>
      </c>
      <c r="E62" s="56">
        <v>1175</v>
      </c>
      <c r="F62" s="18">
        <v>3580</v>
      </c>
      <c r="G62" s="19">
        <v>3550</v>
      </c>
    </row>
    <row r="63" spans="1:7">
      <c r="A63" s="18">
        <v>1</v>
      </c>
      <c r="B63" s="19">
        <v>2660</v>
      </c>
      <c r="E63" s="19">
        <v>3860</v>
      </c>
      <c r="F63" s="12">
        <v>3210</v>
      </c>
      <c r="G63" s="19">
        <v>3620</v>
      </c>
    </row>
    <row r="64" spans="1:7">
      <c r="A64" s="18">
        <v>1</v>
      </c>
      <c r="B64" s="19">
        <v>2660</v>
      </c>
      <c r="E64" s="19">
        <v>3620</v>
      </c>
      <c r="F64" s="19">
        <v>3700</v>
      </c>
      <c r="G64" s="19">
        <v>3780</v>
      </c>
    </row>
    <row r="65" spans="1:7">
      <c r="A65" s="18">
        <v>1</v>
      </c>
      <c r="B65" s="19">
        <v>3140</v>
      </c>
      <c r="E65" s="19">
        <v>2960</v>
      </c>
      <c r="F65" s="19">
        <v>4120</v>
      </c>
      <c r="G65" s="19">
        <v>3010</v>
      </c>
    </row>
    <row r="66" spans="1:7">
      <c r="A66" s="60">
        <v>1</v>
      </c>
      <c r="B66" s="56">
        <v>1175</v>
      </c>
      <c r="E66" s="19">
        <v>3650</v>
      </c>
      <c r="F66" s="19">
        <v>3350</v>
      </c>
      <c r="G66" s="19">
        <v>2680</v>
      </c>
    </row>
    <row r="67" spans="1:7">
      <c r="A67" s="18">
        <v>1</v>
      </c>
      <c r="B67" s="19">
        <v>3860</v>
      </c>
      <c r="E67" s="19">
        <v>3820</v>
      </c>
      <c r="F67" s="19">
        <v>3970</v>
      </c>
      <c r="G67" s="19">
        <v>3130</v>
      </c>
    </row>
    <row r="68" spans="1:7">
      <c r="A68" s="19">
        <v>1</v>
      </c>
      <c r="B68" s="19">
        <v>3620</v>
      </c>
      <c r="E68" s="19">
        <v>3290</v>
      </c>
      <c r="F68" s="19">
        <v>4150</v>
      </c>
      <c r="G68" s="19">
        <v>4060</v>
      </c>
    </row>
    <row r="69" spans="1:7">
      <c r="A69" s="18">
        <v>1</v>
      </c>
      <c r="B69" s="19">
        <v>2960</v>
      </c>
      <c r="E69" s="19">
        <v>2710</v>
      </c>
      <c r="F69" s="19">
        <v>3130</v>
      </c>
      <c r="G69" s="19">
        <v>3420</v>
      </c>
    </row>
    <row r="70" spans="1:7">
      <c r="A70" s="18">
        <v>1</v>
      </c>
      <c r="B70" s="19">
        <v>3650</v>
      </c>
      <c r="E70" s="101">
        <v>3570</v>
      </c>
      <c r="F70" s="19">
        <v>3290</v>
      </c>
      <c r="G70" s="19">
        <v>3430</v>
      </c>
    </row>
    <row r="71" spans="1:7">
      <c r="A71" s="18">
        <v>1</v>
      </c>
      <c r="B71" s="19">
        <v>3820</v>
      </c>
      <c r="E71" s="56">
        <v>1560</v>
      </c>
      <c r="F71" s="19">
        <v>3730</v>
      </c>
      <c r="G71" s="56">
        <v>2730</v>
      </c>
    </row>
    <row r="72" spans="1:7">
      <c r="A72" s="18">
        <v>1</v>
      </c>
      <c r="B72" s="19">
        <v>3290</v>
      </c>
      <c r="E72" s="56">
        <v>1400</v>
      </c>
      <c r="F72" s="19">
        <v>3890</v>
      </c>
      <c r="G72" s="56">
        <v>2070</v>
      </c>
    </row>
    <row r="73" spans="1:7">
      <c r="A73" s="18">
        <v>1</v>
      </c>
      <c r="B73" s="19">
        <v>2710</v>
      </c>
      <c r="F73" s="19">
        <v>2980</v>
      </c>
      <c r="G73" s="19">
        <v>3660</v>
      </c>
    </row>
    <row r="74" spans="1:7">
      <c r="A74" s="99">
        <v>1</v>
      </c>
      <c r="B74" s="101">
        <v>3570</v>
      </c>
      <c r="F74" s="19">
        <v>2930</v>
      </c>
      <c r="G74" s="19">
        <v>3570</v>
      </c>
    </row>
    <row r="75" spans="1:7">
      <c r="A75" s="18">
        <v>2</v>
      </c>
      <c r="B75" s="12">
        <v>2270</v>
      </c>
      <c r="F75" s="19">
        <v>4100</v>
      </c>
      <c r="G75" s="56">
        <v>1680</v>
      </c>
    </row>
    <row r="76" spans="1:7">
      <c r="A76" s="18">
        <v>2</v>
      </c>
      <c r="B76" s="12">
        <v>3970</v>
      </c>
      <c r="F76" s="19">
        <v>3200</v>
      </c>
      <c r="G76" s="19">
        <v>3470</v>
      </c>
    </row>
    <row r="77" spans="1:7">
      <c r="A77" s="18">
        <v>2</v>
      </c>
      <c r="B77" s="12">
        <v>3450</v>
      </c>
      <c r="F77" s="19">
        <v>2580</v>
      </c>
      <c r="G77" s="19">
        <v>3470</v>
      </c>
    </row>
    <row r="78" spans="1:7">
      <c r="A78" s="18">
        <v>2</v>
      </c>
      <c r="B78" s="18">
        <v>3460</v>
      </c>
      <c r="F78" s="19">
        <v>1530</v>
      </c>
      <c r="G78" s="19">
        <v>3520</v>
      </c>
    </row>
    <row r="79" spans="1:7">
      <c r="A79" s="18">
        <v>2</v>
      </c>
      <c r="B79" s="25">
        <v>3060</v>
      </c>
      <c r="G79" s="19">
        <v>3950</v>
      </c>
    </row>
    <row r="80" spans="1:7">
      <c r="A80" s="18">
        <v>2</v>
      </c>
      <c r="B80" s="18">
        <v>4250</v>
      </c>
      <c r="G80" s="19">
        <v>3040</v>
      </c>
    </row>
    <row r="81" spans="1:7">
      <c r="A81" s="18">
        <v>2</v>
      </c>
      <c r="B81" s="12">
        <v>3810</v>
      </c>
      <c r="G81" s="19">
        <v>3360</v>
      </c>
    </row>
    <row r="82" spans="1:7">
      <c r="A82" s="18">
        <v>2</v>
      </c>
      <c r="B82" s="12">
        <v>3470</v>
      </c>
      <c r="G82" s="19">
        <v>2260</v>
      </c>
    </row>
    <row r="83" spans="1:7">
      <c r="A83" s="18">
        <v>2</v>
      </c>
      <c r="B83" s="12">
        <v>3670</v>
      </c>
      <c r="G83" s="19">
        <v>2570</v>
      </c>
    </row>
    <row r="84" spans="1:7">
      <c r="A84" s="18">
        <v>2</v>
      </c>
      <c r="B84" s="12">
        <v>3310</v>
      </c>
      <c r="G84" s="19">
        <v>2300</v>
      </c>
    </row>
    <row r="85" spans="1:7">
      <c r="A85" s="60">
        <v>2</v>
      </c>
      <c r="B85" s="26">
        <v>1200</v>
      </c>
    </row>
    <row r="86" spans="1:7">
      <c r="A86" s="18">
        <v>2</v>
      </c>
      <c r="B86" s="24">
        <v>2570</v>
      </c>
    </row>
    <row r="87" spans="1:7">
      <c r="A87" s="18">
        <v>2</v>
      </c>
      <c r="B87" s="24">
        <v>3510</v>
      </c>
    </row>
    <row r="88" spans="1:7">
      <c r="A88" s="18">
        <v>2</v>
      </c>
      <c r="B88" s="24">
        <v>3650</v>
      </c>
    </row>
    <row r="89" spans="1:7">
      <c r="A89" s="18">
        <v>2</v>
      </c>
      <c r="B89" s="24">
        <v>2550</v>
      </c>
    </row>
    <row r="90" spans="1:7">
      <c r="A90" s="18">
        <v>2</v>
      </c>
      <c r="B90" s="24">
        <v>4480</v>
      </c>
    </row>
    <row r="91" spans="1:7">
      <c r="A91" s="18">
        <v>2</v>
      </c>
      <c r="B91" s="24">
        <v>3240</v>
      </c>
    </row>
    <row r="92" spans="1:7">
      <c r="A92" s="60">
        <v>2</v>
      </c>
      <c r="B92" s="27">
        <v>1240</v>
      </c>
    </row>
    <row r="93" spans="1:7">
      <c r="A93" s="60">
        <v>2</v>
      </c>
      <c r="B93" s="28">
        <v>1780</v>
      </c>
    </row>
    <row r="94" spans="1:7">
      <c r="A94" s="18">
        <v>2</v>
      </c>
      <c r="B94" s="24">
        <v>3240</v>
      </c>
    </row>
    <row r="95" spans="1:7">
      <c r="A95" s="18">
        <v>2</v>
      </c>
      <c r="B95" s="24">
        <v>2580</v>
      </c>
    </row>
    <row r="96" spans="1:7">
      <c r="A96" s="18">
        <v>2</v>
      </c>
      <c r="B96" s="24">
        <v>3130</v>
      </c>
    </row>
    <row r="97" spans="1:2">
      <c r="A97" s="18">
        <v>2</v>
      </c>
      <c r="B97" s="24">
        <v>3530</v>
      </c>
    </row>
    <row r="98" spans="1:2">
      <c r="A98" s="18">
        <v>2</v>
      </c>
      <c r="B98" s="24">
        <v>2890</v>
      </c>
    </row>
    <row r="99" spans="1:2">
      <c r="A99" s="18">
        <v>2</v>
      </c>
      <c r="B99" s="25">
        <v>4150</v>
      </c>
    </row>
    <row r="100" spans="1:2">
      <c r="A100" s="18">
        <v>2</v>
      </c>
      <c r="B100" s="24">
        <v>3120</v>
      </c>
    </row>
    <row r="101" spans="1:2">
      <c r="A101" s="18">
        <v>2</v>
      </c>
      <c r="B101" s="29">
        <v>3210</v>
      </c>
    </row>
    <row r="102" spans="1:2">
      <c r="A102" s="18">
        <v>2</v>
      </c>
      <c r="B102" s="12">
        <v>4170</v>
      </c>
    </row>
    <row r="103" spans="1:2">
      <c r="A103" s="60">
        <v>2</v>
      </c>
      <c r="B103" s="23">
        <v>750</v>
      </c>
    </row>
    <row r="104" spans="1:2">
      <c r="A104" s="60">
        <v>2</v>
      </c>
      <c r="B104" s="23">
        <v>1900</v>
      </c>
    </row>
    <row r="105" spans="1:2">
      <c r="A105" s="18">
        <v>2</v>
      </c>
      <c r="B105" s="12">
        <v>3840</v>
      </c>
    </row>
    <row r="106" spans="1:2">
      <c r="A106" s="18">
        <v>2</v>
      </c>
      <c r="B106" s="19">
        <v>3770</v>
      </c>
    </row>
    <row r="107" spans="1:2">
      <c r="A107" s="18">
        <v>2</v>
      </c>
      <c r="B107" s="19">
        <v>3480</v>
      </c>
    </row>
    <row r="108" spans="1:2">
      <c r="A108" s="18">
        <v>2</v>
      </c>
      <c r="B108" s="19">
        <v>2740</v>
      </c>
    </row>
    <row r="109" spans="1:2">
      <c r="A109" s="18">
        <v>2</v>
      </c>
      <c r="B109" s="19">
        <v>3420</v>
      </c>
    </row>
    <row r="110" spans="1:2">
      <c r="A110" s="18">
        <v>2</v>
      </c>
      <c r="B110" s="19">
        <v>3240</v>
      </c>
    </row>
    <row r="111" spans="1:2">
      <c r="A111" s="18">
        <v>2</v>
      </c>
      <c r="B111" s="19">
        <v>3730</v>
      </c>
    </row>
    <row r="112" spans="1:2">
      <c r="A112" s="18">
        <v>2</v>
      </c>
      <c r="B112" s="19">
        <v>3980</v>
      </c>
    </row>
    <row r="113" spans="1:2">
      <c r="A113" s="18">
        <v>2</v>
      </c>
      <c r="B113" s="19">
        <v>3300</v>
      </c>
    </row>
    <row r="114" spans="1:2">
      <c r="A114" s="18">
        <v>2</v>
      </c>
      <c r="B114" s="19">
        <v>3250</v>
      </c>
    </row>
    <row r="115" spans="1:2">
      <c r="A115" s="18">
        <v>2</v>
      </c>
      <c r="B115" s="19">
        <v>3790</v>
      </c>
    </row>
    <row r="116" spans="1:2">
      <c r="A116" s="18">
        <v>2</v>
      </c>
      <c r="B116" s="19">
        <v>3050</v>
      </c>
    </row>
    <row r="117" spans="1:2">
      <c r="A117" s="18">
        <v>2</v>
      </c>
      <c r="B117" s="19">
        <v>4470</v>
      </c>
    </row>
    <row r="118" spans="1:2">
      <c r="A118" s="18">
        <v>2</v>
      </c>
      <c r="B118" s="19">
        <v>3530</v>
      </c>
    </row>
    <row r="119" spans="1:2">
      <c r="A119" s="60">
        <v>2</v>
      </c>
      <c r="B119" s="28">
        <v>1650</v>
      </c>
    </row>
    <row r="120" spans="1:2">
      <c r="A120" s="18">
        <v>2</v>
      </c>
      <c r="B120" s="19">
        <v>3410</v>
      </c>
    </row>
    <row r="121" spans="1:2">
      <c r="A121" s="18">
        <v>2</v>
      </c>
      <c r="B121" s="19">
        <v>2910</v>
      </c>
    </row>
    <row r="122" spans="1:2">
      <c r="A122" s="18">
        <v>2</v>
      </c>
      <c r="B122" s="19">
        <v>3910</v>
      </c>
    </row>
    <row r="123" spans="1:2">
      <c r="A123" s="18">
        <v>2</v>
      </c>
      <c r="B123" s="19">
        <v>2870</v>
      </c>
    </row>
    <row r="124" spans="1:2">
      <c r="A124" s="18">
        <v>2</v>
      </c>
      <c r="B124" s="19">
        <v>3750</v>
      </c>
    </row>
    <row r="125" spans="1:2">
      <c r="A125" s="18">
        <v>2</v>
      </c>
      <c r="B125" s="19">
        <v>2980</v>
      </c>
    </row>
    <row r="126" spans="1:2">
      <c r="A126" s="18">
        <v>2</v>
      </c>
      <c r="B126" s="19">
        <v>3520</v>
      </c>
    </row>
    <row r="127" spans="1:2">
      <c r="A127" s="18">
        <v>2</v>
      </c>
      <c r="B127" s="19">
        <v>3550</v>
      </c>
    </row>
    <row r="128" spans="1:2">
      <c r="A128" s="18">
        <v>2</v>
      </c>
      <c r="B128" s="12">
        <v>3410</v>
      </c>
    </row>
    <row r="129" spans="1:2">
      <c r="A129" s="18">
        <v>2</v>
      </c>
      <c r="B129" s="12">
        <v>3770</v>
      </c>
    </row>
    <row r="130" spans="1:2">
      <c r="A130" s="18">
        <v>2</v>
      </c>
      <c r="B130" s="19">
        <v>3430</v>
      </c>
    </row>
    <row r="131" spans="1:2">
      <c r="A131" s="18">
        <v>2</v>
      </c>
      <c r="B131" s="12">
        <v>3780</v>
      </c>
    </row>
    <row r="132" spans="1:2">
      <c r="A132" s="18">
        <v>2</v>
      </c>
      <c r="B132" s="24">
        <v>3640</v>
      </c>
    </row>
    <row r="133" spans="1:2">
      <c r="A133" s="18">
        <v>2</v>
      </c>
      <c r="B133" s="12">
        <v>3390</v>
      </c>
    </row>
    <row r="134" spans="1:2">
      <c r="A134" s="18">
        <v>2</v>
      </c>
      <c r="B134" s="18">
        <v>3220</v>
      </c>
    </row>
    <row r="135" spans="1:2">
      <c r="A135" s="18">
        <v>2</v>
      </c>
      <c r="B135" s="18">
        <v>3580</v>
      </c>
    </row>
    <row r="136" spans="1:2">
      <c r="A136" s="18">
        <v>2</v>
      </c>
      <c r="B136" s="12">
        <v>3210</v>
      </c>
    </row>
    <row r="137" spans="1:2">
      <c r="A137" s="18">
        <v>2</v>
      </c>
      <c r="B137" s="19">
        <v>3700</v>
      </c>
    </row>
    <row r="138" spans="1:2">
      <c r="A138" s="18">
        <v>2</v>
      </c>
      <c r="B138" s="19">
        <v>4120</v>
      </c>
    </row>
    <row r="139" spans="1:2">
      <c r="A139" s="18">
        <v>2</v>
      </c>
      <c r="B139" s="19">
        <v>3350</v>
      </c>
    </row>
    <row r="140" spans="1:2">
      <c r="A140" s="18">
        <v>2</v>
      </c>
      <c r="B140" s="19">
        <v>3970</v>
      </c>
    </row>
    <row r="141" spans="1:2">
      <c r="A141" s="18">
        <v>2</v>
      </c>
      <c r="B141" s="19">
        <v>4150</v>
      </c>
    </row>
    <row r="142" spans="1:2">
      <c r="A142" s="18">
        <v>2</v>
      </c>
      <c r="B142" s="19">
        <v>3130</v>
      </c>
    </row>
    <row r="143" spans="1:2">
      <c r="A143" s="18">
        <v>2</v>
      </c>
      <c r="B143" s="19">
        <v>3290</v>
      </c>
    </row>
    <row r="144" spans="1:2">
      <c r="A144" s="18">
        <v>2</v>
      </c>
      <c r="B144" s="19">
        <v>3730</v>
      </c>
    </row>
    <row r="145" spans="1:2">
      <c r="A145" s="18">
        <v>2</v>
      </c>
      <c r="B145" s="19">
        <v>3890</v>
      </c>
    </row>
    <row r="146" spans="1:2">
      <c r="A146" s="18">
        <v>2</v>
      </c>
      <c r="B146" s="19">
        <v>2980</v>
      </c>
    </row>
    <row r="147" spans="1:2">
      <c r="A147" s="18">
        <v>2</v>
      </c>
      <c r="B147" s="19">
        <v>2930</v>
      </c>
    </row>
    <row r="148" spans="1:2">
      <c r="A148" s="18">
        <v>2</v>
      </c>
      <c r="B148" s="19">
        <v>4100</v>
      </c>
    </row>
    <row r="149" spans="1:2">
      <c r="A149" s="99">
        <v>3</v>
      </c>
      <c r="B149" s="101">
        <v>2860</v>
      </c>
    </row>
    <row r="150" spans="1:2">
      <c r="A150" s="18">
        <v>3</v>
      </c>
      <c r="B150" s="19">
        <v>3400</v>
      </c>
    </row>
    <row r="151" spans="1:2">
      <c r="A151" s="18">
        <v>3</v>
      </c>
      <c r="B151" s="19">
        <v>2850</v>
      </c>
    </row>
    <row r="152" spans="1:2">
      <c r="A152" s="18">
        <v>3</v>
      </c>
      <c r="B152" s="19">
        <v>3800</v>
      </c>
    </row>
    <row r="153" spans="1:2">
      <c r="A153" s="18">
        <v>3</v>
      </c>
      <c r="B153" s="19">
        <v>4062</v>
      </c>
    </row>
    <row r="154" spans="1:2">
      <c r="A154" s="18">
        <v>3</v>
      </c>
      <c r="B154" s="19">
        <v>2570</v>
      </c>
    </row>
    <row r="155" spans="1:2">
      <c r="A155" s="18">
        <v>3</v>
      </c>
      <c r="B155" s="19">
        <v>2380</v>
      </c>
    </row>
    <row r="156" spans="1:2">
      <c r="A156" s="18">
        <v>3</v>
      </c>
      <c r="B156" s="19">
        <v>3950</v>
      </c>
    </row>
    <row r="157" spans="1:2">
      <c r="A157" s="18">
        <v>3</v>
      </c>
      <c r="B157" s="19">
        <v>3800</v>
      </c>
    </row>
    <row r="158" spans="1:2">
      <c r="A158" s="18">
        <v>3</v>
      </c>
      <c r="B158" s="19">
        <v>3550</v>
      </c>
    </row>
    <row r="159" spans="1:2">
      <c r="A159" s="18">
        <v>3</v>
      </c>
      <c r="B159" s="19">
        <v>3450</v>
      </c>
    </row>
    <row r="160" spans="1:2">
      <c r="A160" s="18">
        <v>3</v>
      </c>
      <c r="B160" s="19">
        <v>3070</v>
      </c>
    </row>
    <row r="161" spans="1:2">
      <c r="A161" s="18">
        <v>3</v>
      </c>
      <c r="B161" s="19">
        <v>2330</v>
      </c>
    </row>
    <row r="162" spans="1:2">
      <c r="A162" s="18">
        <v>3</v>
      </c>
      <c r="B162" s="19">
        <v>3080</v>
      </c>
    </row>
    <row r="163" spans="1:2">
      <c r="A163" s="18">
        <v>3</v>
      </c>
      <c r="B163" s="19">
        <v>3580</v>
      </c>
    </row>
    <row r="164" spans="1:2">
      <c r="A164" s="18">
        <v>3</v>
      </c>
      <c r="B164" s="19">
        <v>3580</v>
      </c>
    </row>
    <row r="165" spans="1:2">
      <c r="A165" s="18">
        <v>3</v>
      </c>
      <c r="B165" s="19">
        <v>2470</v>
      </c>
    </row>
    <row r="166" spans="1:2">
      <c r="A166" s="18">
        <v>3</v>
      </c>
      <c r="B166" s="19">
        <v>2870</v>
      </c>
    </row>
    <row r="167" spans="1:2">
      <c r="A167" s="18">
        <v>3</v>
      </c>
      <c r="B167" s="19">
        <v>3870</v>
      </c>
    </row>
    <row r="168" spans="1:2">
      <c r="A168" s="18">
        <v>3</v>
      </c>
      <c r="B168" s="19">
        <v>2470</v>
      </c>
    </row>
    <row r="169" spans="1:2">
      <c r="A169" s="18">
        <v>3</v>
      </c>
      <c r="B169" s="19">
        <v>3390</v>
      </c>
    </row>
    <row r="170" spans="1:2">
      <c r="A170" s="18">
        <v>3</v>
      </c>
      <c r="B170" s="19">
        <v>3920</v>
      </c>
    </row>
    <row r="171" spans="1:2">
      <c r="A171" s="18">
        <v>3</v>
      </c>
      <c r="B171" s="19">
        <v>3160</v>
      </c>
    </row>
    <row r="172" spans="1:2">
      <c r="A172" s="18">
        <v>3</v>
      </c>
      <c r="B172" s="19">
        <v>4230</v>
      </c>
    </row>
    <row r="173" spans="1:2">
      <c r="A173" s="18">
        <v>3</v>
      </c>
      <c r="B173" s="19">
        <v>3100</v>
      </c>
    </row>
    <row r="174" spans="1:2">
      <c r="A174" s="18">
        <v>3</v>
      </c>
      <c r="B174" s="19">
        <v>3370</v>
      </c>
    </row>
    <row r="175" spans="1:2">
      <c r="A175" s="18">
        <v>3</v>
      </c>
      <c r="B175" s="19">
        <v>3750</v>
      </c>
    </row>
    <row r="176" spans="1:2">
      <c r="A176" s="18">
        <v>3</v>
      </c>
      <c r="B176" s="19">
        <v>4330</v>
      </c>
    </row>
    <row r="177" spans="1:2">
      <c r="A177" s="18">
        <v>3</v>
      </c>
      <c r="B177" s="19">
        <v>3200</v>
      </c>
    </row>
    <row r="178" spans="1:2">
      <c r="A178" s="18">
        <v>3</v>
      </c>
      <c r="B178" s="19">
        <v>2780</v>
      </c>
    </row>
    <row r="179" spans="1:2">
      <c r="A179" s="18">
        <v>3</v>
      </c>
      <c r="B179" s="19">
        <v>2715</v>
      </c>
    </row>
    <row r="180" spans="1:2">
      <c r="A180" s="18">
        <v>3</v>
      </c>
      <c r="B180" s="19">
        <v>3010</v>
      </c>
    </row>
    <row r="181" spans="1:2">
      <c r="A181" s="18">
        <v>3</v>
      </c>
      <c r="B181" s="19">
        <v>3580</v>
      </c>
    </row>
    <row r="182" spans="1:2">
      <c r="A182" s="18">
        <v>3</v>
      </c>
      <c r="B182" s="19">
        <v>2960</v>
      </c>
    </row>
    <row r="183" spans="1:2">
      <c r="A183" s="18">
        <v>3</v>
      </c>
      <c r="B183" s="19">
        <v>3240</v>
      </c>
    </row>
    <row r="184" spans="1:2">
      <c r="A184" s="18">
        <v>3</v>
      </c>
      <c r="B184" s="19">
        <v>3650</v>
      </c>
    </row>
    <row r="185" spans="1:2">
      <c r="A185" s="18">
        <v>3</v>
      </c>
      <c r="B185" s="19">
        <v>3410</v>
      </c>
    </row>
    <row r="186" spans="1:2">
      <c r="A186" s="18">
        <v>3</v>
      </c>
      <c r="B186" s="19">
        <v>3540</v>
      </c>
    </row>
    <row r="187" spans="1:2">
      <c r="A187" s="18">
        <v>3</v>
      </c>
      <c r="B187" s="19">
        <v>3540</v>
      </c>
    </row>
    <row r="188" spans="1:2">
      <c r="A188" s="18">
        <v>3</v>
      </c>
      <c r="B188" s="19">
        <v>4640</v>
      </c>
    </row>
    <row r="189" spans="1:2">
      <c r="A189" s="18">
        <v>3</v>
      </c>
      <c r="B189" s="19">
        <v>3260</v>
      </c>
    </row>
    <row r="190" spans="1:2">
      <c r="A190" s="18">
        <v>3</v>
      </c>
      <c r="B190" s="19">
        <v>2800</v>
      </c>
    </row>
    <row r="191" spans="1:2">
      <c r="A191" s="18">
        <v>3</v>
      </c>
      <c r="B191" s="19">
        <v>4100</v>
      </c>
    </row>
    <row r="192" spans="1:2">
      <c r="A192" s="18">
        <v>3</v>
      </c>
      <c r="B192" s="19">
        <v>3380</v>
      </c>
    </row>
    <row r="193" spans="1:2">
      <c r="A193" s="18">
        <v>3</v>
      </c>
      <c r="B193" s="19">
        <v>3310</v>
      </c>
    </row>
    <row r="194" spans="1:2">
      <c r="A194" s="18">
        <v>3</v>
      </c>
      <c r="B194" s="19">
        <v>3300</v>
      </c>
    </row>
    <row r="195" spans="1:2">
      <c r="A195" s="18">
        <v>3</v>
      </c>
      <c r="B195" s="19">
        <v>3390</v>
      </c>
    </row>
    <row r="196" spans="1:2">
      <c r="A196" s="18">
        <v>3</v>
      </c>
      <c r="B196" s="19">
        <v>3740</v>
      </c>
    </row>
    <row r="197" spans="1:2">
      <c r="A197" s="18">
        <v>3</v>
      </c>
      <c r="B197" s="19">
        <v>4470</v>
      </c>
    </row>
    <row r="198" spans="1:2">
      <c r="A198" s="18">
        <v>3</v>
      </c>
      <c r="B198" s="19">
        <v>3560</v>
      </c>
    </row>
    <row r="199" spans="1:2">
      <c r="A199" s="18">
        <v>3</v>
      </c>
      <c r="B199" s="19">
        <v>4100</v>
      </c>
    </row>
    <row r="200" spans="1:2">
      <c r="A200" s="18">
        <v>3</v>
      </c>
      <c r="B200" s="19">
        <v>4200</v>
      </c>
    </row>
    <row r="201" spans="1:2">
      <c r="A201" s="18">
        <v>3</v>
      </c>
      <c r="B201" s="19">
        <v>3590</v>
      </c>
    </row>
    <row r="202" spans="1:2">
      <c r="A202" s="18">
        <v>3</v>
      </c>
      <c r="B202" s="19">
        <v>3300</v>
      </c>
    </row>
    <row r="203" spans="1:2">
      <c r="A203" s="18">
        <v>3</v>
      </c>
      <c r="B203" s="19">
        <v>4630</v>
      </c>
    </row>
    <row r="204" spans="1:2">
      <c r="A204" s="18">
        <v>3</v>
      </c>
      <c r="B204" s="19">
        <v>3570</v>
      </c>
    </row>
    <row r="205" spans="1:2">
      <c r="A205" s="18">
        <v>3</v>
      </c>
      <c r="B205" s="19">
        <v>3370</v>
      </c>
    </row>
    <row r="206" spans="1:2">
      <c r="A206" s="18">
        <v>3</v>
      </c>
      <c r="B206" s="19">
        <v>3790</v>
      </c>
    </row>
    <row r="207" spans="1:2">
      <c r="A207" s="18">
        <v>3</v>
      </c>
      <c r="B207" s="19">
        <v>3640</v>
      </c>
    </row>
    <row r="208" spans="1:2">
      <c r="A208" s="18">
        <v>3</v>
      </c>
      <c r="B208" s="19">
        <v>4030</v>
      </c>
    </row>
    <row r="209" spans="1:2">
      <c r="A209" s="18">
        <v>3</v>
      </c>
      <c r="B209" s="19">
        <v>3550</v>
      </c>
    </row>
    <row r="210" spans="1:2">
      <c r="A210" s="18">
        <v>3</v>
      </c>
      <c r="B210" s="19">
        <v>3620</v>
      </c>
    </row>
    <row r="211" spans="1:2">
      <c r="A211" s="18">
        <v>3</v>
      </c>
      <c r="B211" s="19">
        <v>3780</v>
      </c>
    </row>
    <row r="212" spans="1:2">
      <c r="A212" s="18">
        <v>3</v>
      </c>
      <c r="B212" s="19">
        <v>3010</v>
      </c>
    </row>
    <row r="213" spans="1:2">
      <c r="A213" s="18">
        <v>3</v>
      </c>
      <c r="B213" s="19">
        <v>2680</v>
      </c>
    </row>
    <row r="214" spans="1:2">
      <c r="A214" s="18">
        <v>3</v>
      </c>
      <c r="B214" s="19">
        <v>3130</v>
      </c>
    </row>
    <row r="215" spans="1:2">
      <c r="A215" s="18">
        <v>3</v>
      </c>
      <c r="B215" s="19">
        <v>4060</v>
      </c>
    </row>
    <row r="216" spans="1:2">
      <c r="A216" s="18">
        <v>3</v>
      </c>
      <c r="B216" s="19">
        <v>3420</v>
      </c>
    </row>
    <row r="217" spans="1:2">
      <c r="A217" s="18">
        <v>3</v>
      </c>
      <c r="B217" s="19">
        <v>3430</v>
      </c>
    </row>
    <row r="218" spans="1:2">
      <c r="A218" s="60">
        <v>3</v>
      </c>
      <c r="B218" s="56">
        <v>2730</v>
      </c>
    </row>
    <row r="219" spans="1:2">
      <c r="A219" s="60">
        <v>3</v>
      </c>
      <c r="B219" s="56">
        <v>2070</v>
      </c>
    </row>
    <row r="220" spans="1:2">
      <c r="A220" s="18">
        <v>3</v>
      </c>
      <c r="B220" s="19">
        <v>3660</v>
      </c>
    </row>
    <row r="221" spans="1:2">
      <c r="A221" s="18">
        <v>3</v>
      </c>
      <c r="B221" s="19">
        <v>3570</v>
      </c>
    </row>
    <row r="222" spans="1:2">
      <c r="A222" s="60">
        <v>3</v>
      </c>
      <c r="B222" s="56">
        <v>1680</v>
      </c>
    </row>
    <row r="223" spans="1:2">
      <c r="A223" s="18">
        <v>3</v>
      </c>
      <c r="B223" s="19">
        <v>3470</v>
      </c>
    </row>
    <row r="224" spans="1:2">
      <c r="A224" s="18">
        <v>3</v>
      </c>
      <c r="B224" s="19">
        <v>3470</v>
      </c>
    </row>
    <row r="225" spans="1:2">
      <c r="A225" s="18">
        <v>3</v>
      </c>
      <c r="B225" s="19">
        <v>3520</v>
      </c>
    </row>
    <row r="226" spans="1:2">
      <c r="A226" s="18">
        <v>3</v>
      </c>
      <c r="B226" s="19">
        <v>3950</v>
      </c>
    </row>
    <row r="227" spans="1:2">
      <c r="A227" s="18">
        <v>3</v>
      </c>
      <c r="B227" s="19">
        <v>3040</v>
      </c>
    </row>
    <row r="228" spans="1:2">
      <c r="A228" s="18">
        <v>3</v>
      </c>
      <c r="B228" s="19">
        <v>3360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928D-4344-4103-9570-D268E3733B9A}">
  <dimension ref="A1:G229"/>
  <sheetViews>
    <sheetView workbookViewId="0">
      <selection activeCell="R19" sqref="R19"/>
    </sheetView>
  </sheetViews>
  <sheetFormatPr defaultRowHeight="14.4"/>
  <sheetData>
    <row r="1" spans="1:7">
      <c r="A1" t="s">
        <v>1</v>
      </c>
      <c r="B1" s="30" t="s">
        <v>259</v>
      </c>
      <c r="E1" t="s">
        <v>337</v>
      </c>
      <c r="F1" t="s">
        <v>338</v>
      </c>
      <c r="G1" t="s">
        <v>340</v>
      </c>
    </row>
    <row r="2" spans="1:7">
      <c r="A2" s="19">
        <v>1</v>
      </c>
      <c r="B2" s="19">
        <v>50</v>
      </c>
      <c r="E2" s="19">
        <v>50</v>
      </c>
      <c r="F2" s="19">
        <v>50</v>
      </c>
      <c r="G2" s="101">
        <v>49</v>
      </c>
    </row>
    <row r="3" spans="1:7">
      <c r="A3" s="56">
        <v>1</v>
      </c>
      <c r="B3" s="56">
        <v>50</v>
      </c>
      <c r="E3" s="56">
        <v>50</v>
      </c>
      <c r="F3" s="19">
        <v>47</v>
      </c>
      <c r="G3" s="19">
        <v>53</v>
      </c>
    </row>
    <row r="4" spans="1:7">
      <c r="A4" s="60">
        <v>1</v>
      </c>
      <c r="B4" s="56">
        <v>35</v>
      </c>
      <c r="E4" s="56">
        <v>35</v>
      </c>
      <c r="F4" s="19">
        <v>52</v>
      </c>
      <c r="G4" s="19">
        <v>48</v>
      </c>
    </row>
    <row r="5" spans="1:7">
      <c r="A5" s="18">
        <v>1</v>
      </c>
      <c r="B5" s="19">
        <v>54</v>
      </c>
      <c r="E5" s="19">
        <v>54</v>
      </c>
      <c r="F5" s="19">
        <v>52</v>
      </c>
      <c r="G5" s="19">
        <v>53</v>
      </c>
    </row>
    <row r="6" spans="1:7">
      <c r="A6" s="18">
        <v>1</v>
      </c>
      <c r="B6" s="19">
        <v>45</v>
      </c>
      <c r="E6" s="19">
        <v>45</v>
      </c>
      <c r="F6" s="19">
        <v>52</v>
      </c>
      <c r="G6" s="19">
        <v>56</v>
      </c>
    </row>
    <row r="7" spans="1:7">
      <c r="A7" s="56">
        <v>1</v>
      </c>
      <c r="B7" s="56">
        <v>30</v>
      </c>
      <c r="E7" s="56">
        <v>30</v>
      </c>
      <c r="F7" s="19">
        <v>49</v>
      </c>
      <c r="G7" s="19">
        <v>48</v>
      </c>
    </row>
    <row r="8" spans="1:7">
      <c r="A8" s="19">
        <v>1</v>
      </c>
      <c r="B8" s="19">
        <v>44</v>
      </c>
      <c r="E8" s="19">
        <v>44</v>
      </c>
      <c r="F8" s="19">
        <v>56</v>
      </c>
      <c r="G8" s="19">
        <v>45</v>
      </c>
    </row>
    <row r="9" spans="1:7">
      <c r="A9" s="56">
        <v>1</v>
      </c>
      <c r="B9" s="56">
        <v>33</v>
      </c>
      <c r="E9" s="56">
        <v>33</v>
      </c>
      <c r="F9" s="19">
        <v>53</v>
      </c>
      <c r="G9" s="19">
        <v>53</v>
      </c>
    </row>
    <row r="10" spans="1:7">
      <c r="A10" s="19">
        <v>1</v>
      </c>
      <c r="B10" s="19"/>
      <c r="E10" s="19">
        <v>45</v>
      </c>
      <c r="F10" s="19">
        <v>53</v>
      </c>
      <c r="G10" s="19">
        <v>53</v>
      </c>
    </row>
    <row r="11" spans="1:7">
      <c r="A11" s="19">
        <v>1</v>
      </c>
      <c r="B11" s="19">
        <v>45</v>
      </c>
      <c r="E11" s="19">
        <v>49</v>
      </c>
      <c r="F11" s="19">
        <v>53</v>
      </c>
      <c r="G11" s="19">
        <v>53</v>
      </c>
    </row>
    <row r="12" spans="1:7">
      <c r="A12" s="19">
        <v>1</v>
      </c>
      <c r="B12" s="19">
        <v>49</v>
      </c>
      <c r="E12" s="56">
        <v>44</v>
      </c>
      <c r="F12" s="19">
        <v>52</v>
      </c>
      <c r="G12" s="19">
        <v>52</v>
      </c>
    </row>
    <row r="13" spans="1:7">
      <c r="A13" s="60">
        <v>1</v>
      </c>
      <c r="B13" s="56">
        <v>44</v>
      </c>
      <c r="E13" s="56">
        <v>50</v>
      </c>
      <c r="F13" s="56">
        <v>35</v>
      </c>
      <c r="G13" s="19">
        <v>49</v>
      </c>
    </row>
    <row r="14" spans="1:7">
      <c r="A14" s="56">
        <v>1</v>
      </c>
      <c r="B14" s="56">
        <v>50</v>
      </c>
      <c r="E14" s="19">
        <v>52</v>
      </c>
      <c r="F14" s="19">
        <v>48</v>
      </c>
      <c r="G14" s="19">
        <v>46</v>
      </c>
    </row>
    <row r="15" spans="1:7">
      <c r="A15" s="19">
        <v>1</v>
      </c>
      <c r="B15" s="19">
        <v>52</v>
      </c>
      <c r="E15" s="19">
        <v>50</v>
      </c>
      <c r="F15" s="19">
        <v>52</v>
      </c>
      <c r="G15" s="19">
        <v>50</v>
      </c>
    </row>
    <row r="16" spans="1:7">
      <c r="A16" s="19">
        <v>1</v>
      </c>
      <c r="B16" s="19">
        <v>50</v>
      </c>
      <c r="E16" s="19">
        <v>51</v>
      </c>
      <c r="F16" s="19">
        <v>52</v>
      </c>
      <c r="G16" s="19">
        <v>52</v>
      </c>
    </row>
    <row r="17" spans="1:7">
      <c r="A17" s="19">
        <v>1</v>
      </c>
      <c r="B17" s="19">
        <v>51</v>
      </c>
      <c r="E17" s="19">
        <v>52</v>
      </c>
      <c r="F17" s="19">
        <v>49</v>
      </c>
      <c r="G17" s="19">
        <v>52</v>
      </c>
    </row>
    <row r="18" spans="1:7">
      <c r="A18" s="19">
        <v>1</v>
      </c>
      <c r="B18" s="19">
        <v>52</v>
      </c>
      <c r="E18" s="19">
        <v>52</v>
      </c>
      <c r="F18" s="19">
        <v>57</v>
      </c>
      <c r="G18" s="19">
        <v>49</v>
      </c>
    </row>
    <row r="19" spans="1:7">
      <c r="A19" s="19">
        <v>1</v>
      </c>
      <c r="B19" s="19"/>
      <c r="E19" s="56">
        <v>46</v>
      </c>
      <c r="F19" s="19">
        <v>50</v>
      </c>
      <c r="G19" s="19">
        <v>48</v>
      </c>
    </row>
    <row r="20" spans="1:7">
      <c r="A20" s="19">
        <v>1</v>
      </c>
      <c r="B20" s="19">
        <v>52</v>
      </c>
      <c r="E20" s="19">
        <v>51</v>
      </c>
      <c r="F20" s="56">
        <v>38</v>
      </c>
      <c r="G20" s="19">
        <v>52</v>
      </c>
    </row>
    <row r="21" spans="1:7">
      <c r="A21" s="56">
        <v>1</v>
      </c>
      <c r="B21" s="56">
        <v>46</v>
      </c>
      <c r="E21" s="19">
        <v>48</v>
      </c>
      <c r="F21" s="56">
        <v>44</v>
      </c>
      <c r="G21" s="19">
        <v>48</v>
      </c>
    </row>
    <row r="22" spans="1:7">
      <c r="A22" s="19">
        <v>1</v>
      </c>
      <c r="B22" s="19">
        <v>51</v>
      </c>
      <c r="E22" s="19">
        <v>49</v>
      </c>
      <c r="F22" s="19">
        <v>52</v>
      </c>
      <c r="G22" s="19">
        <v>54</v>
      </c>
    </row>
    <row r="23" spans="1:7">
      <c r="A23" s="19">
        <v>1</v>
      </c>
      <c r="B23" s="19">
        <v>48</v>
      </c>
      <c r="E23" s="19">
        <v>52</v>
      </c>
      <c r="F23" s="19">
        <v>49</v>
      </c>
      <c r="G23" s="19">
        <v>53</v>
      </c>
    </row>
    <row r="24" spans="1:7">
      <c r="A24" s="19">
        <v>1</v>
      </c>
      <c r="B24" s="19">
        <v>49</v>
      </c>
      <c r="E24" s="56">
        <v>49</v>
      </c>
      <c r="F24" s="19">
        <v>52</v>
      </c>
      <c r="G24" s="19">
        <v>53</v>
      </c>
    </row>
    <row r="25" spans="1:7">
      <c r="A25" s="19">
        <v>1</v>
      </c>
      <c r="B25" s="19">
        <v>52</v>
      </c>
      <c r="E25" s="19">
        <v>48</v>
      </c>
      <c r="F25" s="19">
        <v>53</v>
      </c>
      <c r="G25" s="19">
        <v>53</v>
      </c>
    </row>
    <row r="26" spans="1:7">
      <c r="A26" s="56">
        <v>1</v>
      </c>
      <c r="B26" s="56">
        <v>49</v>
      </c>
      <c r="E26" s="19">
        <v>48</v>
      </c>
      <c r="F26" s="19">
        <v>50</v>
      </c>
      <c r="G26" s="19">
        <v>49</v>
      </c>
    </row>
    <row r="27" spans="1:7">
      <c r="A27" s="19">
        <v>1</v>
      </c>
      <c r="B27" s="19">
        <v>48</v>
      </c>
      <c r="E27" s="19">
        <v>54</v>
      </c>
      <c r="F27" s="19">
        <v>56</v>
      </c>
      <c r="G27" s="19">
        <v>50</v>
      </c>
    </row>
    <row r="28" spans="1:7">
      <c r="A28" s="19">
        <v>1</v>
      </c>
      <c r="B28" s="19">
        <v>48</v>
      </c>
      <c r="E28" s="19">
        <v>53</v>
      </c>
      <c r="F28" s="19">
        <v>52</v>
      </c>
      <c r="G28" s="19">
        <v>51</v>
      </c>
    </row>
    <row r="29" spans="1:7">
      <c r="A29" s="19">
        <v>1</v>
      </c>
      <c r="B29" s="19">
        <v>54</v>
      </c>
      <c r="E29" s="19">
        <v>51</v>
      </c>
      <c r="F29" s="19">
        <v>52</v>
      </c>
      <c r="G29" s="19">
        <v>55</v>
      </c>
    </row>
    <row r="30" spans="1:7">
      <c r="A30" s="5">
        <v>1</v>
      </c>
      <c r="B30" s="19">
        <v>53</v>
      </c>
      <c r="E30" s="19">
        <v>51</v>
      </c>
      <c r="F30" s="19">
        <v>55</v>
      </c>
      <c r="G30" s="19">
        <v>52</v>
      </c>
    </row>
    <row r="31" spans="1:7">
      <c r="A31" s="18">
        <v>1</v>
      </c>
      <c r="B31" s="19">
        <v>51</v>
      </c>
      <c r="E31" s="56">
        <v>49</v>
      </c>
      <c r="F31" s="56">
        <v>33</v>
      </c>
      <c r="G31" s="19">
        <v>50</v>
      </c>
    </row>
    <row r="32" spans="1:7">
      <c r="A32" s="19">
        <v>1</v>
      </c>
      <c r="B32" s="19">
        <v>51</v>
      </c>
      <c r="E32" s="19">
        <v>50</v>
      </c>
      <c r="F32" s="56">
        <v>41</v>
      </c>
      <c r="G32" s="19">
        <v>49</v>
      </c>
    </row>
    <row r="33" spans="1:7">
      <c r="A33" s="56">
        <v>1</v>
      </c>
      <c r="B33" s="56">
        <v>49</v>
      </c>
      <c r="E33" s="56">
        <v>39</v>
      </c>
      <c r="F33" s="19">
        <v>54</v>
      </c>
      <c r="G33" s="19">
        <v>49</v>
      </c>
    </row>
    <row r="34" spans="1:7">
      <c r="A34" s="19">
        <v>1</v>
      </c>
      <c r="B34" s="19">
        <v>50</v>
      </c>
      <c r="E34" s="19">
        <v>49</v>
      </c>
      <c r="F34" s="19">
        <v>53</v>
      </c>
      <c r="G34" s="19">
        <v>53</v>
      </c>
    </row>
    <row r="35" spans="1:7">
      <c r="A35" s="64">
        <v>1</v>
      </c>
      <c r="B35" s="56">
        <v>39</v>
      </c>
      <c r="E35" s="56">
        <v>43</v>
      </c>
      <c r="F35" s="19">
        <v>53</v>
      </c>
      <c r="G35" s="19">
        <v>47</v>
      </c>
    </row>
    <row r="36" spans="1:7">
      <c r="A36" s="7">
        <v>1</v>
      </c>
      <c r="B36" s="19">
        <v>49</v>
      </c>
      <c r="E36" s="19">
        <v>47</v>
      </c>
      <c r="F36" s="19">
        <v>45</v>
      </c>
      <c r="G36" s="19">
        <v>51</v>
      </c>
    </row>
    <row r="37" spans="1:7">
      <c r="A37" s="60">
        <v>1</v>
      </c>
      <c r="B37" s="56">
        <v>43</v>
      </c>
      <c r="E37" s="19">
        <v>49</v>
      </c>
      <c r="F37" s="19">
        <v>51</v>
      </c>
      <c r="G37" s="19">
        <v>52</v>
      </c>
    </row>
    <row r="38" spans="1:7">
      <c r="A38" s="18">
        <v>1</v>
      </c>
      <c r="B38" s="19">
        <v>47</v>
      </c>
      <c r="E38" s="19">
        <v>53</v>
      </c>
      <c r="F38" s="19">
        <v>53</v>
      </c>
      <c r="G38" s="19">
        <v>53</v>
      </c>
    </row>
    <row r="39" spans="1:7">
      <c r="A39" s="18">
        <v>1</v>
      </c>
      <c r="B39" s="19">
        <v>49</v>
      </c>
      <c r="E39" s="19">
        <v>50</v>
      </c>
      <c r="F39" s="19">
        <v>51</v>
      </c>
      <c r="G39" s="19">
        <v>55</v>
      </c>
    </row>
    <row r="40" spans="1:7">
      <c r="A40" s="18">
        <v>1</v>
      </c>
      <c r="B40" s="19">
        <v>53</v>
      </c>
      <c r="E40" s="56">
        <v>46</v>
      </c>
      <c r="F40" s="19">
        <v>54</v>
      </c>
      <c r="G40" s="19">
        <v>53</v>
      </c>
    </row>
    <row r="41" spans="1:7">
      <c r="A41" s="18">
        <v>1</v>
      </c>
      <c r="B41" s="19">
        <v>50</v>
      </c>
      <c r="E41" s="56">
        <v>39</v>
      </c>
      <c r="F41" s="19">
        <v>51</v>
      </c>
      <c r="G41" s="19">
        <v>53</v>
      </c>
    </row>
    <row r="42" spans="1:7">
      <c r="A42" s="60">
        <v>1</v>
      </c>
      <c r="B42" s="56">
        <v>46</v>
      </c>
      <c r="E42" s="19">
        <v>50</v>
      </c>
      <c r="F42" s="19">
        <v>52</v>
      </c>
      <c r="G42" s="19">
        <v>51</v>
      </c>
    </row>
    <row r="43" spans="1:7">
      <c r="A43" s="60">
        <v>1</v>
      </c>
      <c r="B43" s="56">
        <v>39</v>
      </c>
      <c r="E43" s="19">
        <v>53</v>
      </c>
      <c r="F43" s="19">
        <v>52</v>
      </c>
      <c r="G43" s="19">
        <v>48</v>
      </c>
    </row>
    <row r="44" spans="1:7">
      <c r="A44" s="18">
        <v>1</v>
      </c>
      <c r="B44" s="19">
        <v>50</v>
      </c>
      <c r="E44" s="19">
        <v>52</v>
      </c>
      <c r="F44" s="19">
        <v>57</v>
      </c>
      <c r="G44" s="19">
        <v>54</v>
      </c>
    </row>
    <row r="45" spans="1:7">
      <c r="A45" s="18">
        <v>1</v>
      </c>
      <c r="B45" s="19"/>
      <c r="E45" s="56">
        <v>45</v>
      </c>
      <c r="F45" s="19">
        <v>52</v>
      </c>
      <c r="G45" s="19">
        <v>53</v>
      </c>
    </row>
    <row r="46" spans="1:7">
      <c r="A46" s="18">
        <v>1</v>
      </c>
      <c r="B46" s="19">
        <v>53</v>
      </c>
      <c r="E46" s="56">
        <v>48</v>
      </c>
      <c r="F46" s="56">
        <v>43</v>
      </c>
      <c r="G46" s="19">
        <v>52</v>
      </c>
    </row>
    <row r="47" spans="1:7">
      <c r="A47" s="18">
        <v>1</v>
      </c>
      <c r="B47" s="19">
        <v>52</v>
      </c>
      <c r="E47" s="56">
        <v>40</v>
      </c>
      <c r="F47" s="19">
        <v>52</v>
      </c>
      <c r="G47" s="19">
        <v>52</v>
      </c>
    </row>
    <row r="48" spans="1:7">
      <c r="A48" s="60">
        <v>1</v>
      </c>
      <c r="B48" s="56">
        <v>45</v>
      </c>
      <c r="E48" s="19">
        <v>49</v>
      </c>
      <c r="F48" s="19">
        <v>49</v>
      </c>
      <c r="G48" s="19">
        <v>53</v>
      </c>
    </row>
    <row r="49" spans="1:7">
      <c r="A49" s="60">
        <v>1</v>
      </c>
      <c r="B49" s="56">
        <v>48</v>
      </c>
      <c r="E49" s="19">
        <v>52</v>
      </c>
      <c r="F49" s="19">
        <v>53</v>
      </c>
      <c r="G49" s="19">
        <v>54</v>
      </c>
    </row>
    <row r="50" spans="1:7">
      <c r="A50" s="60">
        <v>1</v>
      </c>
      <c r="B50" s="56">
        <v>40</v>
      </c>
      <c r="E50" s="56">
        <v>46</v>
      </c>
      <c r="F50" s="19">
        <v>50</v>
      </c>
      <c r="G50" s="19">
        <v>57</v>
      </c>
    </row>
    <row r="51" spans="1:7">
      <c r="A51" s="18">
        <v>1</v>
      </c>
      <c r="B51" s="19">
        <v>49</v>
      </c>
      <c r="E51" s="56">
        <v>47</v>
      </c>
      <c r="F51" s="19">
        <v>52</v>
      </c>
      <c r="G51" s="19">
        <v>51</v>
      </c>
    </row>
    <row r="52" spans="1:7">
      <c r="A52" s="19">
        <v>1</v>
      </c>
      <c r="B52" s="19">
        <v>52</v>
      </c>
      <c r="E52" s="19">
        <v>52</v>
      </c>
      <c r="F52" s="19">
        <v>49</v>
      </c>
      <c r="G52" s="19">
        <v>54</v>
      </c>
    </row>
    <row r="53" spans="1:7">
      <c r="A53" s="56">
        <v>1</v>
      </c>
      <c r="B53" s="56">
        <v>46</v>
      </c>
      <c r="E53" s="56">
        <v>43</v>
      </c>
      <c r="F53" s="19">
        <v>49</v>
      </c>
      <c r="G53" s="19">
        <v>54</v>
      </c>
    </row>
    <row r="54" spans="1:7">
      <c r="A54" s="60">
        <v>1</v>
      </c>
      <c r="B54" s="56">
        <v>47</v>
      </c>
      <c r="E54" s="56">
        <v>39</v>
      </c>
      <c r="F54" s="19">
        <v>54</v>
      </c>
      <c r="G54" s="19">
        <v>51</v>
      </c>
    </row>
    <row r="55" spans="1:7">
      <c r="A55" s="19">
        <v>1</v>
      </c>
      <c r="B55" s="19">
        <v>52</v>
      </c>
      <c r="E55" s="19">
        <v>52</v>
      </c>
      <c r="F55" s="19">
        <v>50</v>
      </c>
      <c r="G55" s="19">
        <v>50</v>
      </c>
    </row>
    <row r="56" spans="1:7">
      <c r="A56" s="56">
        <v>1</v>
      </c>
      <c r="B56" s="56">
        <v>43</v>
      </c>
      <c r="E56" s="19">
        <v>50</v>
      </c>
      <c r="F56" s="19">
        <v>53</v>
      </c>
      <c r="G56" s="19">
        <v>56</v>
      </c>
    </row>
    <row r="57" spans="1:7">
      <c r="A57" s="70">
        <v>1</v>
      </c>
      <c r="B57" s="56">
        <v>39</v>
      </c>
      <c r="E57" s="19">
        <v>47</v>
      </c>
      <c r="F57" s="19">
        <v>52</v>
      </c>
      <c r="G57" s="19">
        <v>51</v>
      </c>
    </row>
    <row r="58" spans="1:7">
      <c r="A58" s="7">
        <v>1</v>
      </c>
      <c r="B58" s="19">
        <v>52</v>
      </c>
      <c r="E58" s="56">
        <v>45</v>
      </c>
      <c r="F58" s="19">
        <v>54</v>
      </c>
      <c r="G58" s="19">
        <v>51</v>
      </c>
    </row>
    <row r="59" spans="1:7">
      <c r="A59" s="19">
        <v>2</v>
      </c>
      <c r="B59" s="19"/>
      <c r="E59" s="19">
        <v>50</v>
      </c>
      <c r="F59" s="19">
        <v>51</v>
      </c>
      <c r="G59" s="19">
        <v>55</v>
      </c>
    </row>
    <row r="60" spans="1:7">
      <c r="A60" s="19">
        <v>2</v>
      </c>
      <c r="E60" s="19">
        <v>51</v>
      </c>
      <c r="F60" s="19">
        <v>52</v>
      </c>
      <c r="G60" s="19">
        <v>52</v>
      </c>
    </row>
    <row r="61" spans="1:7">
      <c r="A61" s="18">
        <v>1</v>
      </c>
      <c r="B61" s="19">
        <v>47</v>
      </c>
      <c r="E61" s="19">
        <v>47</v>
      </c>
      <c r="F61" s="19">
        <v>51</v>
      </c>
      <c r="G61" s="19">
        <v>54</v>
      </c>
    </row>
    <row r="62" spans="1:7">
      <c r="A62" s="60">
        <v>1</v>
      </c>
      <c r="B62" s="56">
        <v>45</v>
      </c>
      <c r="E62" s="19">
        <v>50</v>
      </c>
      <c r="F62" s="19">
        <v>53</v>
      </c>
      <c r="G62" s="19">
        <v>51</v>
      </c>
    </row>
    <row r="63" spans="1:7">
      <c r="A63" s="7">
        <v>1</v>
      </c>
      <c r="B63" s="19">
        <v>50</v>
      </c>
      <c r="E63" s="56">
        <v>40</v>
      </c>
      <c r="F63" s="19">
        <v>52</v>
      </c>
      <c r="G63" s="19">
        <v>52</v>
      </c>
    </row>
    <row r="64" spans="1:7">
      <c r="A64" s="18">
        <v>1</v>
      </c>
      <c r="B64" s="19">
        <v>51</v>
      </c>
      <c r="E64" s="19">
        <v>53</v>
      </c>
      <c r="F64" s="19">
        <v>53</v>
      </c>
      <c r="G64" s="19">
        <v>59</v>
      </c>
    </row>
    <row r="65" spans="1:7">
      <c r="A65" s="18">
        <v>1</v>
      </c>
      <c r="B65" s="19">
        <v>47</v>
      </c>
      <c r="E65" s="19">
        <v>52</v>
      </c>
      <c r="F65" s="19">
        <v>54</v>
      </c>
      <c r="G65" s="19">
        <v>49</v>
      </c>
    </row>
    <row r="66" spans="1:7">
      <c r="A66" s="18">
        <v>1</v>
      </c>
      <c r="B66" s="19">
        <v>50</v>
      </c>
      <c r="E66" s="19">
        <v>49</v>
      </c>
      <c r="F66" s="19">
        <v>52</v>
      </c>
      <c r="G66" s="19">
        <v>47</v>
      </c>
    </row>
    <row r="67" spans="1:7">
      <c r="A67" s="60">
        <v>1</v>
      </c>
      <c r="B67" s="56">
        <v>40</v>
      </c>
      <c r="E67" s="19">
        <v>53</v>
      </c>
      <c r="F67" s="19">
        <v>54</v>
      </c>
      <c r="G67" s="19">
        <v>49</v>
      </c>
    </row>
    <row r="68" spans="1:7">
      <c r="A68" s="18">
        <v>1</v>
      </c>
      <c r="B68" s="19">
        <v>53</v>
      </c>
      <c r="E68" s="19">
        <v>54</v>
      </c>
      <c r="F68" s="19">
        <v>56</v>
      </c>
      <c r="G68" s="19">
        <v>54</v>
      </c>
    </row>
    <row r="69" spans="1:7">
      <c r="A69" s="19">
        <v>1</v>
      </c>
      <c r="B69" s="19">
        <v>52</v>
      </c>
      <c r="E69" s="19">
        <v>52</v>
      </c>
      <c r="F69" s="19">
        <v>52</v>
      </c>
      <c r="G69" s="19">
        <v>51</v>
      </c>
    </row>
    <row r="70" spans="1:7">
      <c r="A70" s="18">
        <v>1</v>
      </c>
      <c r="B70" s="19">
        <v>49</v>
      </c>
      <c r="E70" s="19">
        <v>49</v>
      </c>
      <c r="F70" s="19">
        <v>52</v>
      </c>
      <c r="G70" s="19">
        <v>50</v>
      </c>
    </row>
    <row r="71" spans="1:7">
      <c r="A71" s="18">
        <v>1</v>
      </c>
      <c r="B71" s="19">
        <v>53</v>
      </c>
      <c r="E71" s="101">
        <v>53</v>
      </c>
      <c r="F71" s="19">
        <v>52</v>
      </c>
      <c r="G71" s="56">
        <v>47</v>
      </c>
    </row>
    <row r="72" spans="1:7">
      <c r="A72" s="18">
        <v>1</v>
      </c>
      <c r="B72" s="19">
        <v>54</v>
      </c>
      <c r="E72" s="19">
        <v>43</v>
      </c>
      <c r="F72" s="19">
        <v>52</v>
      </c>
      <c r="G72" s="56">
        <v>42</v>
      </c>
    </row>
    <row r="73" spans="1:7">
      <c r="A73" s="18">
        <v>1</v>
      </c>
      <c r="B73" s="19">
        <v>52</v>
      </c>
      <c r="E73" s="19">
        <v>39</v>
      </c>
      <c r="F73" s="19">
        <v>50</v>
      </c>
      <c r="G73" s="19">
        <v>53</v>
      </c>
    </row>
    <row r="74" spans="1:7">
      <c r="A74" s="18">
        <v>1</v>
      </c>
      <c r="B74" s="19">
        <v>49</v>
      </c>
      <c r="F74" s="19">
        <v>49</v>
      </c>
      <c r="G74" s="19">
        <v>53</v>
      </c>
    </row>
    <row r="75" spans="1:7">
      <c r="A75" s="99">
        <v>1</v>
      </c>
      <c r="B75" s="101">
        <v>53</v>
      </c>
      <c r="F75" s="19">
        <v>52</v>
      </c>
      <c r="G75" s="56">
        <v>42</v>
      </c>
    </row>
    <row r="76" spans="1:7">
      <c r="A76" s="18">
        <v>2</v>
      </c>
      <c r="B76" s="19">
        <v>47</v>
      </c>
      <c r="F76" s="19">
        <v>47</v>
      </c>
      <c r="G76" s="19">
        <v>51</v>
      </c>
    </row>
    <row r="77" spans="1:7">
      <c r="A77" s="18">
        <v>2</v>
      </c>
      <c r="B77" s="19">
        <v>52</v>
      </c>
      <c r="F77" s="19">
        <v>42</v>
      </c>
      <c r="G77" s="19">
        <v>51</v>
      </c>
    </row>
    <row r="78" spans="1:7">
      <c r="A78" s="18">
        <v>2</v>
      </c>
      <c r="B78" s="19">
        <v>52</v>
      </c>
      <c r="F78" s="19">
        <v>51</v>
      </c>
      <c r="G78" s="19">
        <v>54</v>
      </c>
    </row>
    <row r="79" spans="1:7">
      <c r="A79" s="18">
        <v>2</v>
      </c>
      <c r="B79" s="19">
        <v>52</v>
      </c>
      <c r="G79" s="19">
        <v>53</v>
      </c>
    </row>
    <row r="80" spans="1:7">
      <c r="A80" s="18">
        <v>2</v>
      </c>
      <c r="B80" s="19">
        <v>49</v>
      </c>
      <c r="G80" s="19">
        <v>51</v>
      </c>
    </row>
    <row r="81" spans="1:7">
      <c r="A81" s="18">
        <v>2</v>
      </c>
      <c r="B81" s="19">
        <v>56</v>
      </c>
      <c r="G81" s="19">
        <v>52</v>
      </c>
    </row>
    <row r="82" spans="1:7">
      <c r="A82" s="18">
        <v>2</v>
      </c>
      <c r="B82" s="19">
        <v>53</v>
      </c>
      <c r="G82" s="19">
        <v>46</v>
      </c>
    </row>
    <row r="83" spans="1:7">
      <c r="A83" s="18">
        <v>2</v>
      </c>
      <c r="B83" s="19">
        <v>53</v>
      </c>
      <c r="G83" s="19">
        <v>45</v>
      </c>
    </row>
    <row r="84" spans="1:7">
      <c r="A84" s="18">
        <v>2</v>
      </c>
      <c r="B84" s="19">
        <v>53</v>
      </c>
      <c r="G84" s="19">
        <v>43</v>
      </c>
    </row>
    <row r="85" spans="1:7">
      <c r="A85" s="18">
        <v>2</v>
      </c>
      <c r="B85" s="19">
        <v>52</v>
      </c>
    </row>
    <row r="86" spans="1:7">
      <c r="A86" s="60">
        <v>2</v>
      </c>
      <c r="B86" s="56">
        <v>35</v>
      </c>
    </row>
    <row r="87" spans="1:7">
      <c r="A87" s="18">
        <v>2</v>
      </c>
      <c r="B87" s="19">
        <v>48</v>
      </c>
    </row>
    <row r="88" spans="1:7">
      <c r="A88" s="18">
        <v>2</v>
      </c>
      <c r="B88" s="19">
        <v>52</v>
      </c>
    </row>
    <row r="89" spans="1:7">
      <c r="A89" s="18">
        <v>2</v>
      </c>
      <c r="B89" s="19">
        <v>52</v>
      </c>
    </row>
    <row r="90" spans="1:7">
      <c r="A90" s="18">
        <v>2</v>
      </c>
      <c r="B90" s="19">
        <v>49</v>
      </c>
    </row>
    <row r="91" spans="1:7">
      <c r="A91" s="18">
        <v>2</v>
      </c>
      <c r="B91" s="19">
        <v>57</v>
      </c>
    </row>
    <row r="92" spans="1:7">
      <c r="A92" s="18">
        <v>2</v>
      </c>
      <c r="B92" s="19">
        <v>50</v>
      </c>
    </row>
    <row r="93" spans="1:7">
      <c r="A93" s="60">
        <v>2</v>
      </c>
      <c r="B93" s="56">
        <v>38</v>
      </c>
    </row>
    <row r="94" spans="1:7">
      <c r="A94" s="60">
        <v>2</v>
      </c>
      <c r="B94" s="56">
        <v>44</v>
      </c>
    </row>
    <row r="95" spans="1:7">
      <c r="A95" s="18">
        <v>2</v>
      </c>
      <c r="B95" s="19">
        <v>52</v>
      </c>
    </row>
    <row r="96" spans="1:7">
      <c r="A96" s="18">
        <v>2</v>
      </c>
      <c r="B96" s="19">
        <v>49</v>
      </c>
    </row>
    <row r="97" spans="1:2">
      <c r="A97" s="18">
        <v>2</v>
      </c>
      <c r="B97" s="19">
        <v>52</v>
      </c>
    </row>
    <row r="98" spans="1:2">
      <c r="A98" s="18">
        <v>2</v>
      </c>
      <c r="B98" s="19">
        <v>53</v>
      </c>
    </row>
    <row r="99" spans="1:2">
      <c r="A99" s="18">
        <v>2</v>
      </c>
      <c r="B99" s="19">
        <v>50</v>
      </c>
    </row>
    <row r="100" spans="1:2">
      <c r="A100" s="18">
        <v>2</v>
      </c>
      <c r="B100" s="19">
        <v>56</v>
      </c>
    </row>
    <row r="101" spans="1:2">
      <c r="A101" s="18">
        <v>2</v>
      </c>
      <c r="B101" s="19">
        <v>52</v>
      </c>
    </row>
    <row r="102" spans="1:2">
      <c r="A102" s="18">
        <v>2</v>
      </c>
      <c r="B102" s="19">
        <v>52</v>
      </c>
    </row>
    <row r="103" spans="1:2">
      <c r="A103" s="18">
        <v>2</v>
      </c>
      <c r="B103" s="19">
        <v>55</v>
      </c>
    </row>
    <row r="104" spans="1:2">
      <c r="A104" s="60">
        <v>2</v>
      </c>
      <c r="B104" s="56">
        <v>33</v>
      </c>
    </row>
    <row r="105" spans="1:2">
      <c r="A105" s="60">
        <v>2</v>
      </c>
      <c r="B105" s="56">
        <v>41</v>
      </c>
    </row>
    <row r="106" spans="1:2">
      <c r="A106" s="18">
        <v>2</v>
      </c>
      <c r="B106" s="19">
        <v>54</v>
      </c>
    </row>
    <row r="107" spans="1:2">
      <c r="A107" s="18">
        <v>2</v>
      </c>
      <c r="B107" s="19">
        <v>53</v>
      </c>
    </row>
    <row r="108" spans="1:2">
      <c r="A108" s="18">
        <v>2</v>
      </c>
      <c r="B108" s="19">
        <v>53</v>
      </c>
    </row>
    <row r="109" spans="1:2">
      <c r="A109" s="18">
        <v>2</v>
      </c>
      <c r="B109" s="19">
        <v>45</v>
      </c>
    </row>
    <row r="110" spans="1:2">
      <c r="A110" s="18">
        <v>2</v>
      </c>
      <c r="B110" s="19">
        <v>51</v>
      </c>
    </row>
    <row r="111" spans="1:2">
      <c r="A111" s="18">
        <v>2</v>
      </c>
      <c r="B111" s="19">
        <v>53</v>
      </c>
    </row>
    <row r="112" spans="1:2">
      <c r="A112" s="18">
        <v>2</v>
      </c>
      <c r="B112" s="19">
        <v>51</v>
      </c>
    </row>
    <row r="113" spans="1:2">
      <c r="A113" s="18">
        <v>2</v>
      </c>
      <c r="B113" s="19">
        <v>54</v>
      </c>
    </row>
    <row r="114" spans="1:2">
      <c r="A114" s="18">
        <v>2</v>
      </c>
      <c r="B114" s="19">
        <v>51</v>
      </c>
    </row>
    <row r="115" spans="1:2">
      <c r="A115" s="18">
        <v>2</v>
      </c>
      <c r="B115" s="19">
        <v>51</v>
      </c>
    </row>
    <row r="116" spans="1:2">
      <c r="A116" s="18">
        <v>2</v>
      </c>
      <c r="B116" s="19">
        <v>52</v>
      </c>
    </row>
    <row r="117" spans="1:2">
      <c r="A117" s="18">
        <v>2</v>
      </c>
      <c r="B117" s="19">
        <v>52</v>
      </c>
    </row>
    <row r="118" spans="1:2">
      <c r="A118" s="18">
        <v>2</v>
      </c>
      <c r="B118" s="19">
        <v>57</v>
      </c>
    </row>
    <row r="119" spans="1:2">
      <c r="A119" s="18">
        <v>2</v>
      </c>
      <c r="B119" s="19">
        <v>52</v>
      </c>
    </row>
    <row r="120" spans="1:2">
      <c r="A120" s="60">
        <v>2</v>
      </c>
      <c r="B120" s="56">
        <v>43</v>
      </c>
    </row>
    <row r="121" spans="1:2">
      <c r="A121" s="18">
        <v>2</v>
      </c>
      <c r="B121" s="19">
        <v>52</v>
      </c>
    </row>
    <row r="122" spans="1:2">
      <c r="A122" s="18">
        <v>2</v>
      </c>
      <c r="B122" s="19">
        <v>49</v>
      </c>
    </row>
    <row r="123" spans="1:2">
      <c r="A123" s="18">
        <v>2</v>
      </c>
      <c r="B123" s="19">
        <v>53</v>
      </c>
    </row>
    <row r="124" spans="1:2">
      <c r="A124" s="18">
        <v>2</v>
      </c>
      <c r="B124" s="19">
        <v>50</v>
      </c>
    </row>
    <row r="125" spans="1:2">
      <c r="A125" s="18">
        <v>2</v>
      </c>
      <c r="B125" s="19">
        <v>52</v>
      </c>
    </row>
    <row r="126" spans="1:2">
      <c r="A126" s="18">
        <v>2</v>
      </c>
      <c r="B126" s="19">
        <v>49</v>
      </c>
    </row>
    <row r="127" spans="1:2">
      <c r="A127" s="18">
        <v>2</v>
      </c>
      <c r="B127" s="19">
        <v>49</v>
      </c>
    </row>
    <row r="128" spans="1:2">
      <c r="A128" s="18">
        <v>2</v>
      </c>
      <c r="B128" s="19">
        <v>54</v>
      </c>
    </row>
    <row r="129" spans="1:2">
      <c r="A129" s="18">
        <v>2</v>
      </c>
      <c r="B129" s="19">
        <v>50</v>
      </c>
    </row>
    <row r="130" spans="1:2">
      <c r="A130" s="18">
        <v>2</v>
      </c>
      <c r="B130" s="19">
        <v>53</v>
      </c>
    </row>
    <row r="131" spans="1:2">
      <c r="A131" s="18">
        <v>2</v>
      </c>
      <c r="B131" s="19">
        <v>52</v>
      </c>
    </row>
    <row r="132" spans="1:2">
      <c r="A132" s="18">
        <v>2</v>
      </c>
      <c r="B132" s="19">
        <v>54</v>
      </c>
    </row>
    <row r="133" spans="1:2">
      <c r="A133" s="18">
        <v>2</v>
      </c>
      <c r="B133" s="19">
        <v>51</v>
      </c>
    </row>
    <row r="134" spans="1:2">
      <c r="A134" s="18">
        <v>2</v>
      </c>
      <c r="B134" s="19">
        <v>52</v>
      </c>
    </row>
    <row r="135" spans="1:2">
      <c r="A135" s="18">
        <v>2</v>
      </c>
      <c r="B135" s="19">
        <v>51</v>
      </c>
    </row>
    <row r="136" spans="1:2">
      <c r="A136" s="18">
        <v>2</v>
      </c>
      <c r="B136" s="19">
        <v>53</v>
      </c>
    </row>
    <row r="137" spans="1:2">
      <c r="A137" s="18">
        <v>2</v>
      </c>
      <c r="B137" s="19">
        <v>52</v>
      </c>
    </row>
    <row r="138" spans="1:2">
      <c r="A138" s="18">
        <v>2</v>
      </c>
      <c r="B138" s="19">
        <v>53</v>
      </c>
    </row>
    <row r="139" spans="1:2">
      <c r="A139" s="18">
        <v>2</v>
      </c>
      <c r="B139" s="19">
        <v>54</v>
      </c>
    </row>
    <row r="140" spans="1:2">
      <c r="A140" s="18">
        <v>2</v>
      </c>
      <c r="B140" s="19">
        <v>52</v>
      </c>
    </row>
    <row r="141" spans="1:2">
      <c r="A141" s="18">
        <v>2</v>
      </c>
      <c r="B141" s="19">
        <v>54</v>
      </c>
    </row>
    <row r="142" spans="1:2">
      <c r="A142" s="18">
        <v>2</v>
      </c>
      <c r="B142" s="19">
        <v>56</v>
      </c>
    </row>
    <row r="143" spans="1:2">
      <c r="A143" s="18">
        <v>2</v>
      </c>
      <c r="B143" s="19">
        <v>52</v>
      </c>
    </row>
    <row r="144" spans="1:2">
      <c r="A144" s="18">
        <v>2</v>
      </c>
      <c r="B144" s="19">
        <v>52</v>
      </c>
    </row>
    <row r="145" spans="1:2">
      <c r="A145" s="18">
        <v>2</v>
      </c>
      <c r="B145" s="19">
        <v>52</v>
      </c>
    </row>
    <row r="146" spans="1:2">
      <c r="A146" s="18">
        <v>2</v>
      </c>
      <c r="B146" s="19">
        <v>52</v>
      </c>
    </row>
    <row r="147" spans="1:2">
      <c r="A147" s="18">
        <v>2</v>
      </c>
      <c r="B147" s="19">
        <v>50</v>
      </c>
    </row>
    <row r="148" spans="1:2">
      <c r="A148" s="18">
        <v>2</v>
      </c>
      <c r="B148" s="19">
        <v>49</v>
      </c>
    </row>
    <row r="149" spans="1:2">
      <c r="A149" s="18">
        <v>2</v>
      </c>
      <c r="B149" s="19">
        <v>52</v>
      </c>
    </row>
    <row r="150" spans="1:2">
      <c r="A150" s="99">
        <v>3</v>
      </c>
      <c r="B150" s="101">
        <v>49</v>
      </c>
    </row>
    <row r="151" spans="1:2">
      <c r="A151" s="18">
        <v>3</v>
      </c>
      <c r="B151" s="19">
        <v>53</v>
      </c>
    </row>
    <row r="152" spans="1:2">
      <c r="A152" s="18">
        <v>3</v>
      </c>
      <c r="B152" s="19">
        <v>48</v>
      </c>
    </row>
    <row r="153" spans="1:2">
      <c r="A153" s="18">
        <v>3</v>
      </c>
      <c r="B153" s="19">
        <v>53</v>
      </c>
    </row>
    <row r="154" spans="1:2">
      <c r="A154" s="18">
        <v>3</v>
      </c>
      <c r="B154" s="19">
        <v>56</v>
      </c>
    </row>
    <row r="155" spans="1:2">
      <c r="A155" s="18">
        <v>3</v>
      </c>
      <c r="B155" s="19">
        <v>48</v>
      </c>
    </row>
    <row r="156" spans="1:2">
      <c r="A156" s="18">
        <v>3</v>
      </c>
      <c r="B156" s="19">
        <v>45</v>
      </c>
    </row>
    <row r="157" spans="1:2">
      <c r="A157" s="18">
        <v>3</v>
      </c>
      <c r="B157" s="19">
        <v>53</v>
      </c>
    </row>
    <row r="158" spans="1:2">
      <c r="A158" s="18">
        <v>3</v>
      </c>
      <c r="B158" s="19">
        <v>53</v>
      </c>
    </row>
    <row r="159" spans="1:2">
      <c r="A159" s="18">
        <v>3</v>
      </c>
      <c r="B159" s="19">
        <v>53</v>
      </c>
    </row>
    <row r="160" spans="1:2">
      <c r="A160" s="18">
        <v>3</v>
      </c>
      <c r="B160" s="19">
        <v>52</v>
      </c>
    </row>
    <row r="161" spans="1:2">
      <c r="A161" s="18">
        <v>3</v>
      </c>
      <c r="B161" s="19">
        <v>49</v>
      </c>
    </row>
    <row r="162" spans="1:2">
      <c r="A162" s="18">
        <v>3</v>
      </c>
      <c r="B162" s="19">
        <v>46</v>
      </c>
    </row>
    <row r="163" spans="1:2">
      <c r="A163" s="18">
        <v>3</v>
      </c>
      <c r="B163" s="19">
        <v>50</v>
      </c>
    </row>
    <row r="164" spans="1:2">
      <c r="A164" s="18">
        <v>3</v>
      </c>
      <c r="B164" s="19">
        <v>52</v>
      </c>
    </row>
    <row r="165" spans="1:2">
      <c r="A165" s="18">
        <v>3</v>
      </c>
      <c r="B165" s="19">
        <v>52</v>
      </c>
    </row>
    <row r="166" spans="1:2">
      <c r="A166" s="18">
        <v>3</v>
      </c>
      <c r="B166" s="19">
        <v>49</v>
      </c>
    </row>
    <row r="167" spans="1:2">
      <c r="A167" s="18">
        <v>3</v>
      </c>
      <c r="B167" s="19">
        <v>48</v>
      </c>
    </row>
    <row r="168" spans="1:2">
      <c r="A168" s="18">
        <v>3</v>
      </c>
      <c r="B168" s="19">
        <v>52</v>
      </c>
    </row>
    <row r="169" spans="1:2">
      <c r="A169" s="18">
        <v>3</v>
      </c>
      <c r="B169" s="19">
        <v>48</v>
      </c>
    </row>
    <row r="170" spans="1:2">
      <c r="A170" s="18">
        <v>3</v>
      </c>
      <c r="B170" s="19">
        <v>54</v>
      </c>
    </row>
    <row r="171" spans="1:2">
      <c r="A171" s="18">
        <v>3</v>
      </c>
      <c r="B171" s="19">
        <v>53</v>
      </c>
    </row>
    <row r="172" spans="1:2">
      <c r="A172" s="18">
        <v>3</v>
      </c>
      <c r="B172" s="19">
        <v>53</v>
      </c>
    </row>
    <row r="173" spans="1:2">
      <c r="A173" s="18">
        <v>3</v>
      </c>
      <c r="B173" s="19">
        <v>53</v>
      </c>
    </row>
    <row r="174" spans="1:2">
      <c r="A174" s="18">
        <v>3</v>
      </c>
      <c r="B174" s="19">
        <v>49</v>
      </c>
    </row>
    <row r="175" spans="1:2">
      <c r="A175" s="18">
        <v>3</v>
      </c>
      <c r="B175" s="19">
        <v>50</v>
      </c>
    </row>
    <row r="176" spans="1:2">
      <c r="A176" s="18">
        <v>3</v>
      </c>
      <c r="B176" s="19">
        <v>51</v>
      </c>
    </row>
    <row r="177" spans="1:2">
      <c r="A177" s="18">
        <v>3</v>
      </c>
      <c r="B177" s="19">
        <v>55</v>
      </c>
    </row>
    <row r="178" spans="1:2">
      <c r="A178" s="18">
        <v>3</v>
      </c>
      <c r="B178" s="19">
        <v>52</v>
      </c>
    </row>
    <row r="179" spans="1:2">
      <c r="A179" s="18">
        <v>3</v>
      </c>
      <c r="B179" s="19">
        <v>50</v>
      </c>
    </row>
    <row r="180" spans="1:2">
      <c r="A180" s="18">
        <v>3</v>
      </c>
      <c r="B180" s="19">
        <v>49</v>
      </c>
    </row>
    <row r="181" spans="1:2">
      <c r="A181" s="18">
        <v>3</v>
      </c>
      <c r="B181" s="19">
        <v>49</v>
      </c>
    </row>
    <row r="182" spans="1:2">
      <c r="A182" s="18">
        <v>3</v>
      </c>
      <c r="B182" s="19">
        <v>53</v>
      </c>
    </row>
    <row r="183" spans="1:2">
      <c r="A183" s="18">
        <v>3</v>
      </c>
      <c r="B183" s="19">
        <v>47</v>
      </c>
    </row>
    <row r="184" spans="1:2">
      <c r="A184" s="18">
        <v>3</v>
      </c>
      <c r="B184" s="19">
        <v>51</v>
      </c>
    </row>
    <row r="185" spans="1:2">
      <c r="A185" s="18">
        <v>3</v>
      </c>
      <c r="B185" s="19">
        <v>52</v>
      </c>
    </row>
    <row r="186" spans="1:2">
      <c r="A186" s="18">
        <v>3</v>
      </c>
      <c r="B186" s="19">
        <v>53</v>
      </c>
    </row>
    <row r="187" spans="1:2">
      <c r="A187" s="18">
        <v>3</v>
      </c>
      <c r="B187" s="19">
        <v>55</v>
      </c>
    </row>
    <row r="188" spans="1:2">
      <c r="A188" s="18">
        <v>3</v>
      </c>
      <c r="B188" s="19">
        <v>53</v>
      </c>
    </row>
    <row r="189" spans="1:2">
      <c r="A189" s="18">
        <v>3</v>
      </c>
      <c r="B189" s="19">
        <v>53</v>
      </c>
    </row>
    <row r="190" spans="1:2">
      <c r="A190" s="18">
        <v>3</v>
      </c>
      <c r="B190" s="19">
        <v>51</v>
      </c>
    </row>
    <row r="191" spans="1:2">
      <c r="A191" s="18">
        <v>3</v>
      </c>
      <c r="B191" s="19">
        <v>48</v>
      </c>
    </row>
    <row r="192" spans="1:2">
      <c r="A192" s="18">
        <v>3</v>
      </c>
      <c r="B192" s="19">
        <v>54</v>
      </c>
    </row>
    <row r="193" spans="1:2">
      <c r="A193" s="18">
        <v>3</v>
      </c>
      <c r="B193" s="19">
        <v>53</v>
      </c>
    </row>
    <row r="194" spans="1:2">
      <c r="A194" s="18">
        <v>3</v>
      </c>
      <c r="B194" s="19">
        <v>52</v>
      </c>
    </row>
    <row r="195" spans="1:2">
      <c r="A195" s="18">
        <v>3</v>
      </c>
      <c r="B195" s="19">
        <v>52</v>
      </c>
    </row>
    <row r="196" spans="1:2">
      <c r="A196" s="18">
        <v>3</v>
      </c>
      <c r="B196" s="19">
        <v>53</v>
      </c>
    </row>
    <row r="197" spans="1:2">
      <c r="A197" s="18">
        <v>3</v>
      </c>
      <c r="B197" s="19">
        <v>54</v>
      </c>
    </row>
    <row r="198" spans="1:2">
      <c r="A198" s="18">
        <v>3</v>
      </c>
      <c r="B198" s="19">
        <v>57</v>
      </c>
    </row>
    <row r="199" spans="1:2">
      <c r="A199" s="18">
        <v>3</v>
      </c>
      <c r="B199" s="19">
        <v>51</v>
      </c>
    </row>
    <row r="200" spans="1:2">
      <c r="A200" s="18">
        <v>3</v>
      </c>
      <c r="B200" s="19">
        <v>54</v>
      </c>
    </row>
    <row r="201" spans="1:2">
      <c r="A201" s="18">
        <v>3</v>
      </c>
      <c r="B201" s="19">
        <v>54</v>
      </c>
    </row>
    <row r="202" spans="1:2">
      <c r="A202" s="18">
        <v>3</v>
      </c>
      <c r="B202" s="19">
        <v>51</v>
      </c>
    </row>
    <row r="203" spans="1:2">
      <c r="A203" s="18">
        <v>3</v>
      </c>
      <c r="B203" s="19">
        <v>50</v>
      </c>
    </row>
    <row r="204" spans="1:2">
      <c r="A204" s="18">
        <v>3</v>
      </c>
      <c r="B204" s="19">
        <v>56</v>
      </c>
    </row>
    <row r="205" spans="1:2">
      <c r="A205" s="18">
        <v>3</v>
      </c>
      <c r="B205" s="19">
        <v>51</v>
      </c>
    </row>
    <row r="206" spans="1:2">
      <c r="A206" s="18">
        <v>3</v>
      </c>
      <c r="B206" s="19">
        <v>51</v>
      </c>
    </row>
    <row r="207" spans="1:2">
      <c r="A207" s="18">
        <v>3</v>
      </c>
      <c r="B207" s="19">
        <v>55</v>
      </c>
    </row>
    <row r="208" spans="1:2">
      <c r="A208" s="18">
        <v>3</v>
      </c>
      <c r="B208" s="19">
        <v>52</v>
      </c>
    </row>
    <row r="209" spans="1:2">
      <c r="A209" s="18">
        <v>3</v>
      </c>
      <c r="B209" s="19">
        <v>54</v>
      </c>
    </row>
    <row r="210" spans="1:2">
      <c r="A210" s="18">
        <v>3</v>
      </c>
      <c r="B210" s="19">
        <v>51</v>
      </c>
    </row>
    <row r="211" spans="1:2">
      <c r="A211" s="18">
        <v>3</v>
      </c>
      <c r="B211" s="19">
        <v>52</v>
      </c>
    </row>
    <row r="212" spans="1:2">
      <c r="A212" s="18">
        <v>3</v>
      </c>
      <c r="B212" s="19">
        <v>59</v>
      </c>
    </row>
    <row r="213" spans="1:2">
      <c r="A213" s="18">
        <v>3</v>
      </c>
      <c r="B213" s="19">
        <v>49</v>
      </c>
    </row>
    <row r="214" spans="1:2">
      <c r="A214" s="18">
        <v>3</v>
      </c>
      <c r="B214" s="19">
        <v>47</v>
      </c>
    </row>
    <row r="215" spans="1:2">
      <c r="A215" s="18">
        <v>3</v>
      </c>
      <c r="B215" s="19">
        <v>49</v>
      </c>
    </row>
    <row r="216" spans="1:2">
      <c r="A216" s="18">
        <v>3</v>
      </c>
      <c r="B216" s="19">
        <v>54</v>
      </c>
    </row>
    <row r="217" spans="1:2">
      <c r="A217" s="18">
        <v>3</v>
      </c>
      <c r="B217" s="19">
        <v>51</v>
      </c>
    </row>
    <row r="218" spans="1:2">
      <c r="A218" s="18">
        <v>3</v>
      </c>
      <c r="B218" s="19">
        <v>50</v>
      </c>
    </row>
    <row r="219" spans="1:2">
      <c r="A219" s="60">
        <v>3</v>
      </c>
      <c r="B219" s="56">
        <v>47</v>
      </c>
    </row>
    <row r="220" spans="1:2">
      <c r="A220" s="60">
        <v>3</v>
      </c>
      <c r="B220" s="56">
        <v>42</v>
      </c>
    </row>
    <row r="221" spans="1:2">
      <c r="A221" s="18">
        <v>3</v>
      </c>
      <c r="B221" s="19">
        <v>53</v>
      </c>
    </row>
    <row r="222" spans="1:2">
      <c r="A222" s="18">
        <v>3</v>
      </c>
      <c r="B222" s="19">
        <v>53</v>
      </c>
    </row>
    <row r="223" spans="1:2">
      <c r="A223" s="60">
        <v>3</v>
      </c>
      <c r="B223" s="56">
        <v>42</v>
      </c>
    </row>
    <row r="224" spans="1:2">
      <c r="A224" s="18">
        <v>3</v>
      </c>
      <c r="B224" s="19">
        <v>51</v>
      </c>
    </row>
    <row r="225" spans="1:2">
      <c r="A225" s="18">
        <v>3</v>
      </c>
      <c r="B225" s="19">
        <v>51</v>
      </c>
    </row>
    <row r="226" spans="1:2">
      <c r="A226" s="18">
        <v>3</v>
      </c>
      <c r="B226" s="19">
        <v>54</v>
      </c>
    </row>
    <row r="227" spans="1:2">
      <c r="A227" s="18">
        <v>3</v>
      </c>
      <c r="B227" s="19">
        <v>53</v>
      </c>
    </row>
    <row r="228" spans="1:2">
      <c r="A228" s="18">
        <v>3</v>
      </c>
      <c r="B228" s="19">
        <v>51</v>
      </c>
    </row>
    <row r="229" spans="1:2">
      <c r="A229" s="18">
        <v>3</v>
      </c>
      <c r="B229" s="19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F дети кровь</vt:lpstr>
      <vt:lpstr>контроль дети</vt:lpstr>
      <vt:lpstr>Вес 3 группы</vt:lpstr>
      <vt:lpstr>Рост 3 группы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Евгения Калинина</cp:lastModifiedBy>
  <dcterms:created xsi:type="dcterms:W3CDTF">2015-06-05T18:19:34Z</dcterms:created>
  <dcterms:modified xsi:type="dcterms:W3CDTF">2026-05-19T15:42:45Z</dcterms:modified>
</cp:coreProperties>
</file>